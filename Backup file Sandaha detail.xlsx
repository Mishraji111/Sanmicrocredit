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86034442f4b5de/Desktop/"/>
    </mc:Choice>
  </mc:AlternateContent>
  <xr:revisionPtr revIDLastSave="23" documentId="8_{7F2063D7-24DC-475A-B10F-D43722A47E59}" xr6:coauthVersionLast="47" xr6:coauthVersionMax="47" xr10:uidLastSave="{01BEE4C9-A59A-4E9A-A67A-B5C26FB60BD3}"/>
  <bookViews>
    <workbookView xWindow="-108" yWindow="-108" windowWidth="23256" windowHeight="13176" xr2:uid="{D666B056-0EBD-4BAB-9CBC-86C2C43C9438}"/>
  </bookViews>
  <sheets>
    <sheet name="Sheet1" sheetId="1" r:id="rId1"/>
  </sheets>
  <definedNames>
    <definedName name="_xlnm._FilterDatabase" localSheetId="0" hidden="1">Sheet1!$A$1:$BX$798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98" i="1" l="1"/>
  <c r="M798" i="1" s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10" i="1"/>
  <c r="J310" i="1" s="1"/>
  <c r="I309" i="1"/>
  <c r="J309" i="1" s="1"/>
  <c r="I106" i="1"/>
  <c r="J106" i="1" s="1"/>
  <c r="I105" i="1"/>
  <c r="J105" i="1" s="1"/>
  <c r="I104" i="1"/>
  <c r="J104" i="1" s="1"/>
  <c r="I103" i="1"/>
  <c r="J103" i="1" s="1"/>
  <c r="I95" i="1"/>
  <c r="J95" i="1" s="1"/>
  <c r="I84" i="1"/>
  <c r="J84" i="1" s="1"/>
  <c r="I83" i="1"/>
  <c r="J83" i="1" s="1"/>
  <c r="I60" i="1"/>
  <c r="J60" i="1" s="1"/>
  <c r="I53" i="1"/>
  <c r="J53" i="1" s="1"/>
  <c r="I52" i="1"/>
  <c r="J52" i="1" s="1"/>
  <c r="I59" i="1"/>
  <c r="J59" i="1" s="1"/>
  <c r="I51" i="1"/>
  <c r="J51" i="1" s="1"/>
  <c r="I38" i="1"/>
  <c r="J38" i="1" s="1"/>
  <c r="I26" i="1"/>
  <c r="J26" i="1" s="1"/>
  <c r="I19" i="1"/>
  <c r="J19" i="1" s="1"/>
  <c r="I6" i="1"/>
  <c r="J6" i="1" s="1"/>
  <c r="I5" i="1"/>
  <c r="J5" i="1" s="1"/>
  <c r="I4" i="1"/>
  <c r="J4" i="1" s="1"/>
  <c r="I87" i="1"/>
  <c r="J87" i="1" s="1"/>
  <c r="I3" i="1"/>
  <c r="J3" i="1" s="1"/>
  <c r="I2" i="1"/>
  <c r="J2" i="1" s="1"/>
  <c r="I102" i="1"/>
  <c r="J102" i="1" s="1"/>
  <c r="I100" i="1"/>
  <c r="J100" i="1" s="1"/>
  <c r="I99" i="1"/>
  <c r="J99" i="1" s="1"/>
  <c r="I98" i="1"/>
  <c r="J98" i="1" s="1"/>
  <c r="I97" i="1"/>
  <c r="J97" i="1" s="1"/>
  <c r="I96" i="1"/>
  <c r="J96" i="1" s="1"/>
  <c r="I20" i="1"/>
  <c r="J20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94" i="1"/>
  <c r="J94" i="1" s="1"/>
  <c r="I82" i="1"/>
  <c r="J82" i="1" s="1"/>
  <c r="I80" i="1"/>
  <c r="J80" i="1" s="1"/>
  <c r="I79" i="1"/>
  <c r="J79" i="1" s="1"/>
  <c r="I58" i="1"/>
  <c r="J58" i="1" s="1"/>
  <c r="I57" i="1"/>
  <c r="J57" i="1" s="1"/>
  <c r="I56" i="1"/>
  <c r="J56" i="1" s="1"/>
  <c r="I55" i="1"/>
  <c r="J55" i="1" s="1"/>
  <c r="I54" i="1"/>
  <c r="J54" i="1" s="1"/>
  <c r="I77" i="1"/>
  <c r="J77" i="1" s="1"/>
  <c r="I76" i="1"/>
  <c r="J76" i="1" s="1"/>
  <c r="I75" i="1"/>
  <c r="J75" i="1" s="1"/>
  <c r="I74" i="1"/>
  <c r="J74" i="1" s="1"/>
  <c r="I73" i="1"/>
  <c r="J73" i="1" s="1"/>
  <c r="I93" i="1"/>
  <c r="J93" i="1" s="1"/>
  <c r="I92" i="1"/>
  <c r="J92" i="1" s="1"/>
  <c r="I91" i="1"/>
  <c r="J91" i="1" s="1"/>
  <c r="I90" i="1"/>
  <c r="J90" i="1" s="1"/>
  <c r="I88" i="1"/>
  <c r="J88" i="1" s="1"/>
  <c r="I86" i="1"/>
  <c r="J86" i="1" s="1"/>
  <c r="I78" i="1"/>
  <c r="J78" i="1" s="1"/>
  <c r="I37" i="1"/>
  <c r="J37" i="1" s="1"/>
  <c r="I36" i="1"/>
  <c r="J36" i="1" s="1"/>
  <c r="I35" i="1"/>
  <c r="J35" i="1" s="1"/>
  <c r="I34" i="1"/>
  <c r="J34" i="1" s="1"/>
  <c r="I81" i="1"/>
  <c r="J81" i="1" s="1"/>
  <c r="I62" i="1"/>
  <c r="J62" i="1" s="1"/>
  <c r="I50" i="1"/>
  <c r="J50" i="1" s="1"/>
  <c r="I49" i="1"/>
  <c r="J49" i="1" s="1"/>
  <c r="I48" i="1"/>
  <c r="J48" i="1" s="1"/>
  <c r="I47" i="1"/>
  <c r="J47" i="1" s="1"/>
  <c r="I46" i="1"/>
  <c r="J46" i="1" s="1"/>
  <c r="I31" i="1"/>
  <c r="J31" i="1" s="1"/>
  <c r="I30" i="1"/>
  <c r="J30" i="1" s="1"/>
  <c r="I29" i="1"/>
  <c r="J29" i="1" s="1"/>
  <c r="I28" i="1"/>
  <c r="J28" i="1" s="1"/>
  <c r="I27" i="1"/>
  <c r="J27" i="1" s="1"/>
  <c r="I85" i="1"/>
  <c r="J85" i="1" s="1"/>
  <c r="I72" i="1"/>
  <c r="J72" i="1" s="1"/>
  <c r="I71" i="1"/>
  <c r="J71" i="1" s="1"/>
  <c r="I70" i="1"/>
  <c r="J70" i="1" s="1"/>
  <c r="I69" i="1"/>
  <c r="J69" i="1" s="1"/>
  <c r="I68" i="1"/>
  <c r="J68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101" i="1"/>
  <c r="J101" i="1" s="1"/>
  <c r="I61" i="1"/>
  <c r="J61" i="1" s="1"/>
  <c r="I33" i="1"/>
  <c r="J33" i="1" s="1"/>
  <c r="I32" i="1"/>
  <c r="J32" i="1" s="1"/>
  <c r="I25" i="1"/>
  <c r="J25" i="1" s="1"/>
  <c r="I24" i="1"/>
  <c r="J24" i="1" s="1"/>
  <c r="I23" i="1"/>
  <c r="J23" i="1" s="1"/>
  <c r="I22" i="1"/>
  <c r="J22" i="1" s="1"/>
  <c r="I21" i="1"/>
  <c r="J21" i="1" s="1"/>
  <c r="I67" i="1"/>
  <c r="J67" i="1" s="1"/>
  <c r="I66" i="1"/>
  <c r="J66" i="1" s="1"/>
  <c r="I65" i="1"/>
  <c r="J65" i="1" s="1"/>
  <c r="I64" i="1"/>
  <c r="J64" i="1" s="1"/>
  <c r="I63" i="1"/>
  <c r="J63" i="1" s="1"/>
  <c r="I11" i="1"/>
  <c r="J11" i="1" s="1"/>
  <c r="I10" i="1"/>
  <c r="J10" i="1" s="1"/>
  <c r="I9" i="1"/>
  <c r="J9" i="1" s="1"/>
  <c r="I7" i="1"/>
  <c r="J7" i="1" s="1"/>
  <c r="P252" i="1"/>
  <c r="O252" i="1" s="1"/>
  <c r="L194" i="1"/>
  <c r="P140" i="1"/>
  <c r="O140" i="1" s="1"/>
  <c r="L140" i="1"/>
  <c r="G107" i="1"/>
  <c r="O798" i="1"/>
  <c r="P797" i="1"/>
  <c r="O797" i="1" s="1"/>
  <c r="L797" i="1"/>
  <c r="P796" i="1"/>
  <c r="O796" i="1" s="1"/>
  <c r="L796" i="1"/>
  <c r="P795" i="1"/>
  <c r="O795" i="1" s="1"/>
  <c r="L795" i="1"/>
  <c r="P794" i="1"/>
  <c r="O794" i="1" s="1"/>
  <c r="L794" i="1"/>
  <c r="P793" i="1"/>
  <c r="O793" i="1" s="1"/>
  <c r="L793" i="1"/>
  <c r="P792" i="1"/>
  <c r="O792" i="1" s="1"/>
  <c r="L792" i="1"/>
  <c r="P791" i="1"/>
  <c r="O791" i="1" s="1"/>
  <c r="L791" i="1"/>
  <c r="P790" i="1"/>
  <c r="O790" i="1" s="1"/>
  <c r="L790" i="1"/>
  <c r="P789" i="1"/>
  <c r="O789" i="1" s="1"/>
  <c r="L789" i="1"/>
  <c r="P788" i="1"/>
  <c r="O788" i="1" s="1"/>
  <c r="L788" i="1"/>
  <c r="P787" i="1"/>
  <c r="O787" i="1" s="1"/>
  <c r="L787" i="1"/>
  <c r="P786" i="1"/>
  <c r="O786" i="1" s="1"/>
  <c r="L786" i="1"/>
  <c r="P785" i="1"/>
  <c r="O785" i="1" s="1"/>
  <c r="L785" i="1"/>
  <c r="P784" i="1"/>
  <c r="O784" i="1" s="1"/>
  <c r="L784" i="1"/>
  <c r="P783" i="1"/>
  <c r="O783" i="1" s="1"/>
  <c r="L783" i="1"/>
  <c r="P782" i="1"/>
  <c r="O782" i="1" s="1"/>
  <c r="L782" i="1"/>
  <c r="P781" i="1"/>
  <c r="O781" i="1" s="1"/>
  <c r="L781" i="1"/>
  <c r="P780" i="1"/>
  <c r="O780" i="1" s="1"/>
  <c r="L780" i="1"/>
  <c r="P779" i="1"/>
  <c r="O779" i="1" s="1"/>
  <c r="L779" i="1"/>
  <c r="P778" i="1"/>
  <c r="O778" i="1" s="1"/>
  <c r="L778" i="1"/>
  <c r="P777" i="1"/>
  <c r="O777" i="1" s="1"/>
  <c r="L777" i="1"/>
  <c r="P776" i="1"/>
  <c r="O776" i="1" s="1"/>
  <c r="L776" i="1"/>
  <c r="P775" i="1"/>
  <c r="O775" i="1" s="1"/>
  <c r="L775" i="1"/>
  <c r="P774" i="1"/>
  <c r="O774" i="1" s="1"/>
  <c r="L774" i="1"/>
  <c r="P773" i="1"/>
  <c r="O773" i="1" s="1"/>
  <c r="L773" i="1"/>
  <c r="P772" i="1"/>
  <c r="O772" i="1" s="1"/>
  <c r="L772" i="1"/>
  <c r="P771" i="1"/>
  <c r="O771" i="1" s="1"/>
  <c r="L771" i="1"/>
  <c r="P770" i="1"/>
  <c r="O770" i="1" s="1"/>
  <c r="L770" i="1"/>
  <c r="P769" i="1"/>
  <c r="O769" i="1" s="1"/>
  <c r="L769" i="1"/>
  <c r="P768" i="1"/>
  <c r="O768" i="1" s="1"/>
  <c r="L768" i="1"/>
  <c r="P767" i="1"/>
  <c r="O767" i="1" s="1"/>
  <c r="L767" i="1"/>
  <c r="P766" i="1"/>
  <c r="O766" i="1" s="1"/>
  <c r="L766" i="1"/>
  <c r="P765" i="1"/>
  <c r="O765" i="1" s="1"/>
  <c r="L765" i="1"/>
  <c r="P764" i="1"/>
  <c r="O764" i="1" s="1"/>
  <c r="L764" i="1"/>
  <c r="P763" i="1"/>
  <c r="O763" i="1" s="1"/>
  <c r="L763" i="1"/>
  <c r="P762" i="1"/>
  <c r="O762" i="1" s="1"/>
  <c r="L762" i="1"/>
  <c r="P761" i="1"/>
  <c r="O761" i="1" s="1"/>
  <c r="L761" i="1"/>
  <c r="P760" i="1"/>
  <c r="O760" i="1" s="1"/>
  <c r="L760" i="1"/>
  <c r="P759" i="1"/>
  <c r="O759" i="1" s="1"/>
  <c r="L759" i="1"/>
  <c r="P758" i="1"/>
  <c r="O758" i="1" s="1"/>
  <c r="L758" i="1"/>
  <c r="P757" i="1"/>
  <c r="O757" i="1" s="1"/>
  <c r="L757" i="1"/>
  <c r="P756" i="1"/>
  <c r="O756" i="1" s="1"/>
  <c r="L756" i="1"/>
  <c r="P755" i="1"/>
  <c r="O755" i="1" s="1"/>
  <c r="L755" i="1"/>
  <c r="P754" i="1"/>
  <c r="O754" i="1" s="1"/>
  <c r="L754" i="1"/>
  <c r="P753" i="1"/>
  <c r="O753" i="1" s="1"/>
  <c r="L753" i="1"/>
  <c r="P752" i="1"/>
  <c r="O752" i="1" s="1"/>
  <c r="L752" i="1"/>
  <c r="P751" i="1"/>
  <c r="O751" i="1" s="1"/>
  <c r="L751" i="1"/>
  <c r="P750" i="1"/>
  <c r="O750" i="1" s="1"/>
  <c r="L750" i="1"/>
  <c r="P749" i="1"/>
  <c r="O749" i="1" s="1"/>
  <c r="L749" i="1"/>
  <c r="P748" i="1"/>
  <c r="O748" i="1" s="1"/>
  <c r="L748" i="1"/>
  <c r="P747" i="1"/>
  <c r="O747" i="1" s="1"/>
  <c r="L747" i="1"/>
  <c r="P746" i="1"/>
  <c r="O746" i="1" s="1"/>
  <c r="L746" i="1"/>
  <c r="P745" i="1"/>
  <c r="O745" i="1" s="1"/>
  <c r="L745" i="1"/>
  <c r="P744" i="1"/>
  <c r="O744" i="1" s="1"/>
  <c r="L744" i="1"/>
  <c r="P743" i="1"/>
  <c r="O743" i="1" s="1"/>
  <c r="L743" i="1"/>
  <c r="P742" i="1"/>
  <c r="O742" i="1" s="1"/>
  <c r="L742" i="1"/>
  <c r="P741" i="1"/>
  <c r="O741" i="1" s="1"/>
  <c r="L741" i="1"/>
  <c r="P740" i="1"/>
  <c r="O740" i="1" s="1"/>
  <c r="L740" i="1"/>
  <c r="P739" i="1"/>
  <c r="O739" i="1" s="1"/>
  <c r="L739" i="1"/>
  <c r="P738" i="1"/>
  <c r="O738" i="1" s="1"/>
  <c r="L738" i="1"/>
  <c r="P737" i="1"/>
  <c r="O737" i="1" s="1"/>
  <c r="L737" i="1"/>
  <c r="P736" i="1"/>
  <c r="O736" i="1" s="1"/>
  <c r="L736" i="1"/>
  <c r="P735" i="1"/>
  <c r="O735" i="1" s="1"/>
  <c r="L735" i="1"/>
  <c r="P734" i="1"/>
  <c r="O734" i="1" s="1"/>
  <c r="L734" i="1"/>
  <c r="P733" i="1"/>
  <c r="O733" i="1" s="1"/>
  <c r="L733" i="1"/>
  <c r="P732" i="1"/>
  <c r="O732" i="1" s="1"/>
  <c r="L732" i="1"/>
  <c r="P731" i="1"/>
  <c r="O731" i="1" s="1"/>
  <c r="L731" i="1"/>
  <c r="P730" i="1"/>
  <c r="O730" i="1" s="1"/>
  <c r="L730" i="1"/>
  <c r="P729" i="1"/>
  <c r="O729" i="1" s="1"/>
  <c r="L729" i="1"/>
  <c r="P728" i="1"/>
  <c r="O728" i="1" s="1"/>
  <c r="L728" i="1"/>
  <c r="P727" i="1"/>
  <c r="O727" i="1" s="1"/>
  <c r="L727" i="1"/>
  <c r="P726" i="1"/>
  <c r="O726" i="1" s="1"/>
  <c r="L726" i="1"/>
  <c r="P725" i="1"/>
  <c r="O725" i="1" s="1"/>
  <c r="L725" i="1"/>
  <c r="P724" i="1"/>
  <c r="O724" i="1" s="1"/>
  <c r="L724" i="1"/>
  <c r="P723" i="1"/>
  <c r="O723" i="1" s="1"/>
  <c r="L723" i="1"/>
  <c r="P722" i="1"/>
  <c r="O722" i="1" s="1"/>
  <c r="L722" i="1"/>
  <c r="P721" i="1"/>
  <c r="O721" i="1" s="1"/>
  <c r="L721" i="1"/>
  <c r="P720" i="1"/>
  <c r="O720" i="1" s="1"/>
  <c r="L720" i="1"/>
  <c r="P719" i="1"/>
  <c r="O719" i="1" s="1"/>
  <c r="L719" i="1"/>
  <c r="P718" i="1"/>
  <c r="O718" i="1" s="1"/>
  <c r="L718" i="1"/>
  <c r="P717" i="1"/>
  <c r="O717" i="1" s="1"/>
  <c r="L717" i="1"/>
  <c r="P716" i="1"/>
  <c r="O716" i="1" s="1"/>
  <c r="L716" i="1"/>
  <c r="P715" i="1"/>
  <c r="O715" i="1" s="1"/>
  <c r="L715" i="1"/>
  <c r="P714" i="1"/>
  <c r="O714" i="1" s="1"/>
  <c r="L714" i="1"/>
  <c r="P713" i="1"/>
  <c r="O713" i="1" s="1"/>
  <c r="L713" i="1"/>
  <c r="P712" i="1"/>
  <c r="O712" i="1" s="1"/>
  <c r="L712" i="1"/>
  <c r="P711" i="1"/>
  <c r="O711" i="1" s="1"/>
  <c r="L711" i="1"/>
  <c r="P710" i="1"/>
  <c r="O710" i="1" s="1"/>
  <c r="L710" i="1"/>
  <c r="P709" i="1"/>
  <c r="O709" i="1" s="1"/>
  <c r="L709" i="1"/>
  <c r="P708" i="1"/>
  <c r="O708" i="1" s="1"/>
  <c r="L708" i="1"/>
  <c r="P707" i="1"/>
  <c r="O707" i="1" s="1"/>
  <c r="L707" i="1"/>
  <c r="P706" i="1"/>
  <c r="O706" i="1" s="1"/>
  <c r="L706" i="1"/>
  <c r="P705" i="1"/>
  <c r="O705" i="1" s="1"/>
  <c r="L705" i="1"/>
  <c r="P704" i="1"/>
  <c r="O704" i="1" s="1"/>
  <c r="L704" i="1"/>
  <c r="P703" i="1"/>
  <c r="O703" i="1" s="1"/>
  <c r="L703" i="1"/>
  <c r="P702" i="1"/>
  <c r="O702" i="1" s="1"/>
  <c r="L702" i="1"/>
  <c r="P701" i="1"/>
  <c r="O701" i="1" s="1"/>
  <c r="L701" i="1"/>
  <c r="P700" i="1"/>
  <c r="O700" i="1" s="1"/>
  <c r="L700" i="1"/>
  <c r="P699" i="1"/>
  <c r="O699" i="1" s="1"/>
  <c r="L699" i="1"/>
  <c r="P698" i="1"/>
  <c r="O698" i="1" s="1"/>
  <c r="L698" i="1"/>
  <c r="P697" i="1"/>
  <c r="O697" i="1" s="1"/>
  <c r="L697" i="1"/>
  <c r="P696" i="1"/>
  <c r="O696" i="1" s="1"/>
  <c r="L696" i="1"/>
  <c r="P695" i="1"/>
  <c r="O695" i="1" s="1"/>
  <c r="L695" i="1"/>
  <c r="P694" i="1"/>
  <c r="O694" i="1" s="1"/>
  <c r="L694" i="1"/>
  <c r="P693" i="1"/>
  <c r="O693" i="1" s="1"/>
  <c r="L693" i="1"/>
  <c r="P692" i="1"/>
  <c r="O692" i="1" s="1"/>
  <c r="L692" i="1"/>
  <c r="P691" i="1"/>
  <c r="O691" i="1" s="1"/>
  <c r="L691" i="1"/>
  <c r="P690" i="1"/>
  <c r="O690" i="1" s="1"/>
  <c r="L690" i="1"/>
  <c r="P689" i="1"/>
  <c r="O689" i="1" s="1"/>
  <c r="L689" i="1"/>
  <c r="P688" i="1"/>
  <c r="O688" i="1" s="1"/>
  <c r="L688" i="1"/>
  <c r="P687" i="1"/>
  <c r="O687" i="1" s="1"/>
  <c r="L687" i="1"/>
  <c r="P686" i="1"/>
  <c r="O686" i="1" s="1"/>
  <c r="L686" i="1"/>
  <c r="P685" i="1"/>
  <c r="O685" i="1" s="1"/>
  <c r="L685" i="1"/>
  <c r="P684" i="1"/>
  <c r="O684" i="1" s="1"/>
  <c r="L684" i="1"/>
  <c r="P683" i="1"/>
  <c r="O683" i="1" s="1"/>
  <c r="L683" i="1"/>
  <c r="P682" i="1"/>
  <c r="O682" i="1" s="1"/>
  <c r="L682" i="1"/>
  <c r="P681" i="1"/>
  <c r="O681" i="1" s="1"/>
  <c r="L681" i="1"/>
  <c r="P680" i="1"/>
  <c r="O680" i="1" s="1"/>
  <c r="L680" i="1"/>
  <c r="P679" i="1"/>
  <c r="O679" i="1" s="1"/>
  <c r="L679" i="1"/>
  <c r="P678" i="1"/>
  <c r="O678" i="1" s="1"/>
  <c r="L678" i="1"/>
  <c r="P677" i="1"/>
  <c r="O677" i="1" s="1"/>
  <c r="L677" i="1"/>
  <c r="P676" i="1"/>
  <c r="O676" i="1" s="1"/>
  <c r="L676" i="1"/>
  <c r="P675" i="1"/>
  <c r="O675" i="1" s="1"/>
  <c r="L675" i="1"/>
  <c r="P674" i="1"/>
  <c r="O674" i="1" s="1"/>
  <c r="L674" i="1"/>
  <c r="P673" i="1"/>
  <c r="O673" i="1" s="1"/>
  <c r="L673" i="1"/>
  <c r="P672" i="1"/>
  <c r="O672" i="1" s="1"/>
  <c r="L672" i="1"/>
  <c r="P671" i="1"/>
  <c r="O671" i="1" s="1"/>
  <c r="L671" i="1"/>
  <c r="P670" i="1"/>
  <c r="O670" i="1" s="1"/>
  <c r="L670" i="1"/>
  <c r="P669" i="1"/>
  <c r="O669" i="1" s="1"/>
  <c r="L669" i="1"/>
  <c r="P668" i="1"/>
  <c r="O668" i="1" s="1"/>
  <c r="L668" i="1"/>
  <c r="P667" i="1"/>
  <c r="O667" i="1" s="1"/>
  <c r="L667" i="1"/>
  <c r="P666" i="1"/>
  <c r="O666" i="1" s="1"/>
  <c r="L666" i="1"/>
  <c r="P665" i="1"/>
  <c r="O665" i="1" s="1"/>
  <c r="L665" i="1"/>
  <c r="P664" i="1"/>
  <c r="O664" i="1" s="1"/>
  <c r="L664" i="1"/>
  <c r="P663" i="1"/>
  <c r="O663" i="1" s="1"/>
  <c r="L663" i="1"/>
  <c r="P662" i="1"/>
  <c r="O662" i="1" s="1"/>
  <c r="L662" i="1"/>
  <c r="P661" i="1"/>
  <c r="O661" i="1" s="1"/>
  <c r="L661" i="1"/>
  <c r="P660" i="1"/>
  <c r="O660" i="1" s="1"/>
  <c r="L660" i="1"/>
  <c r="P659" i="1"/>
  <c r="O659" i="1" s="1"/>
  <c r="L659" i="1"/>
  <c r="P658" i="1"/>
  <c r="O658" i="1" s="1"/>
  <c r="L658" i="1"/>
  <c r="P657" i="1"/>
  <c r="O657" i="1" s="1"/>
  <c r="L657" i="1"/>
  <c r="P656" i="1"/>
  <c r="O656" i="1" s="1"/>
  <c r="L656" i="1"/>
  <c r="P655" i="1"/>
  <c r="O655" i="1" s="1"/>
  <c r="L655" i="1"/>
  <c r="P654" i="1"/>
  <c r="O654" i="1" s="1"/>
  <c r="L654" i="1"/>
  <c r="P653" i="1"/>
  <c r="O653" i="1" s="1"/>
  <c r="L653" i="1"/>
  <c r="P652" i="1"/>
  <c r="O652" i="1" s="1"/>
  <c r="L652" i="1"/>
  <c r="P651" i="1"/>
  <c r="O651" i="1" s="1"/>
  <c r="L651" i="1"/>
  <c r="P650" i="1"/>
  <c r="O650" i="1" s="1"/>
  <c r="L650" i="1"/>
  <c r="P649" i="1"/>
  <c r="O649" i="1" s="1"/>
  <c r="L649" i="1"/>
  <c r="P648" i="1"/>
  <c r="O648" i="1" s="1"/>
  <c r="L648" i="1"/>
  <c r="P647" i="1"/>
  <c r="O647" i="1" s="1"/>
  <c r="L647" i="1"/>
  <c r="P646" i="1"/>
  <c r="O646" i="1" s="1"/>
  <c r="L646" i="1"/>
  <c r="P645" i="1"/>
  <c r="O645" i="1" s="1"/>
  <c r="L645" i="1"/>
  <c r="P644" i="1"/>
  <c r="O644" i="1" s="1"/>
  <c r="L644" i="1"/>
  <c r="P643" i="1"/>
  <c r="O643" i="1" s="1"/>
  <c r="L643" i="1"/>
  <c r="P642" i="1"/>
  <c r="O642" i="1" s="1"/>
  <c r="L642" i="1"/>
  <c r="P641" i="1"/>
  <c r="O641" i="1" s="1"/>
  <c r="L641" i="1"/>
  <c r="P640" i="1"/>
  <c r="O640" i="1" s="1"/>
  <c r="L640" i="1"/>
  <c r="P639" i="1"/>
  <c r="O639" i="1" s="1"/>
  <c r="L639" i="1"/>
  <c r="P638" i="1"/>
  <c r="O638" i="1" s="1"/>
  <c r="L638" i="1"/>
  <c r="P637" i="1"/>
  <c r="O637" i="1" s="1"/>
  <c r="L637" i="1"/>
  <c r="P636" i="1"/>
  <c r="O636" i="1" s="1"/>
  <c r="L636" i="1"/>
  <c r="P635" i="1"/>
  <c r="O635" i="1" s="1"/>
  <c r="L635" i="1"/>
  <c r="P634" i="1"/>
  <c r="O634" i="1" s="1"/>
  <c r="L634" i="1"/>
  <c r="P633" i="1"/>
  <c r="O633" i="1" s="1"/>
  <c r="L633" i="1"/>
  <c r="P632" i="1"/>
  <c r="O632" i="1" s="1"/>
  <c r="L632" i="1"/>
  <c r="P631" i="1"/>
  <c r="O631" i="1" s="1"/>
  <c r="L631" i="1"/>
  <c r="P630" i="1"/>
  <c r="O630" i="1" s="1"/>
  <c r="L630" i="1"/>
  <c r="P629" i="1"/>
  <c r="O629" i="1" s="1"/>
  <c r="L629" i="1"/>
  <c r="P628" i="1"/>
  <c r="O628" i="1" s="1"/>
  <c r="L628" i="1"/>
  <c r="P627" i="1"/>
  <c r="O627" i="1" s="1"/>
  <c r="L627" i="1"/>
  <c r="P626" i="1"/>
  <c r="O626" i="1" s="1"/>
  <c r="L626" i="1"/>
  <c r="P625" i="1"/>
  <c r="O625" i="1" s="1"/>
  <c r="L625" i="1"/>
  <c r="P624" i="1"/>
  <c r="O624" i="1" s="1"/>
  <c r="L624" i="1"/>
  <c r="P623" i="1"/>
  <c r="O623" i="1" s="1"/>
  <c r="L623" i="1"/>
  <c r="P622" i="1"/>
  <c r="O622" i="1" s="1"/>
  <c r="L622" i="1"/>
  <c r="P621" i="1"/>
  <c r="O621" i="1" s="1"/>
  <c r="L621" i="1"/>
  <c r="P620" i="1"/>
  <c r="O620" i="1" s="1"/>
  <c r="L620" i="1"/>
  <c r="P619" i="1"/>
  <c r="O619" i="1" s="1"/>
  <c r="L619" i="1"/>
  <c r="P618" i="1"/>
  <c r="O618" i="1" s="1"/>
  <c r="L618" i="1"/>
  <c r="P617" i="1"/>
  <c r="O617" i="1" s="1"/>
  <c r="L617" i="1"/>
  <c r="P616" i="1"/>
  <c r="O616" i="1" s="1"/>
  <c r="L616" i="1"/>
  <c r="P615" i="1"/>
  <c r="O615" i="1" s="1"/>
  <c r="L615" i="1"/>
  <c r="P614" i="1"/>
  <c r="O614" i="1" s="1"/>
  <c r="L614" i="1"/>
  <c r="P613" i="1"/>
  <c r="O613" i="1" s="1"/>
  <c r="L613" i="1"/>
  <c r="P612" i="1"/>
  <c r="O612" i="1" s="1"/>
  <c r="L612" i="1"/>
  <c r="P611" i="1"/>
  <c r="O611" i="1" s="1"/>
  <c r="L611" i="1"/>
  <c r="P610" i="1"/>
  <c r="O610" i="1" s="1"/>
  <c r="L610" i="1"/>
  <c r="P609" i="1"/>
  <c r="O609" i="1" s="1"/>
  <c r="L609" i="1"/>
  <c r="P608" i="1"/>
  <c r="O608" i="1" s="1"/>
  <c r="L608" i="1"/>
  <c r="P607" i="1"/>
  <c r="O607" i="1" s="1"/>
  <c r="L607" i="1"/>
  <c r="P606" i="1"/>
  <c r="O606" i="1" s="1"/>
  <c r="L606" i="1"/>
  <c r="P605" i="1"/>
  <c r="O605" i="1" s="1"/>
  <c r="L605" i="1"/>
  <c r="P604" i="1"/>
  <c r="O604" i="1" s="1"/>
  <c r="L604" i="1"/>
  <c r="P603" i="1"/>
  <c r="O603" i="1" s="1"/>
  <c r="L603" i="1"/>
  <c r="P602" i="1"/>
  <c r="O602" i="1" s="1"/>
  <c r="L602" i="1"/>
  <c r="P601" i="1"/>
  <c r="O601" i="1" s="1"/>
  <c r="L601" i="1"/>
  <c r="P600" i="1"/>
  <c r="O600" i="1" s="1"/>
  <c r="L600" i="1"/>
  <c r="P599" i="1"/>
  <c r="O599" i="1" s="1"/>
  <c r="L599" i="1"/>
  <c r="P598" i="1"/>
  <c r="O598" i="1" s="1"/>
  <c r="L598" i="1"/>
  <c r="P597" i="1"/>
  <c r="O597" i="1" s="1"/>
  <c r="L597" i="1"/>
  <c r="P596" i="1"/>
  <c r="O596" i="1" s="1"/>
  <c r="L596" i="1"/>
  <c r="P595" i="1"/>
  <c r="O595" i="1" s="1"/>
  <c r="L595" i="1"/>
  <c r="P594" i="1"/>
  <c r="O594" i="1" s="1"/>
  <c r="L594" i="1"/>
  <c r="P593" i="1"/>
  <c r="O593" i="1" s="1"/>
  <c r="L593" i="1"/>
  <c r="P592" i="1"/>
  <c r="O592" i="1" s="1"/>
  <c r="L592" i="1"/>
  <c r="P591" i="1"/>
  <c r="O591" i="1" s="1"/>
  <c r="L591" i="1"/>
  <c r="P590" i="1"/>
  <c r="O590" i="1" s="1"/>
  <c r="L590" i="1"/>
  <c r="P589" i="1"/>
  <c r="O589" i="1" s="1"/>
  <c r="L589" i="1"/>
  <c r="P588" i="1"/>
  <c r="O588" i="1" s="1"/>
  <c r="L588" i="1"/>
  <c r="P587" i="1"/>
  <c r="O587" i="1" s="1"/>
  <c r="L587" i="1"/>
  <c r="P586" i="1"/>
  <c r="O586" i="1" s="1"/>
  <c r="L586" i="1"/>
  <c r="P585" i="1"/>
  <c r="O585" i="1" s="1"/>
  <c r="L585" i="1"/>
  <c r="P584" i="1"/>
  <c r="O584" i="1" s="1"/>
  <c r="L584" i="1"/>
  <c r="P583" i="1"/>
  <c r="O583" i="1" s="1"/>
  <c r="L583" i="1"/>
  <c r="P582" i="1"/>
  <c r="O582" i="1" s="1"/>
  <c r="L582" i="1"/>
  <c r="P581" i="1"/>
  <c r="O581" i="1" s="1"/>
  <c r="L581" i="1"/>
  <c r="P580" i="1"/>
  <c r="O580" i="1" s="1"/>
  <c r="L580" i="1"/>
  <c r="P579" i="1"/>
  <c r="O579" i="1" s="1"/>
  <c r="L579" i="1"/>
  <c r="P578" i="1"/>
  <c r="O578" i="1" s="1"/>
  <c r="L578" i="1"/>
  <c r="P577" i="1"/>
  <c r="O577" i="1" s="1"/>
  <c r="L577" i="1"/>
  <c r="P576" i="1"/>
  <c r="O576" i="1" s="1"/>
  <c r="L576" i="1"/>
  <c r="P575" i="1"/>
  <c r="O575" i="1" s="1"/>
  <c r="L575" i="1"/>
  <c r="P574" i="1"/>
  <c r="O574" i="1" s="1"/>
  <c r="L574" i="1"/>
  <c r="P573" i="1"/>
  <c r="O573" i="1" s="1"/>
  <c r="L573" i="1"/>
  <c r="P572" i="1"/>
  <c r="O572" i="1" s="1"/>
  <c r="L572" i="1"/>
  <c r="P571" i="1"/>
  <c r="O571" i="1" s="1"/>
  <c r="L571" i="1"/>
  <c r="P570" i="1"/>
  <c r="O570" i="1" s="1"/>
  <c r="L570" i="1"/>
  <c r="P569" i="1"/>
  <c r="O569" i="1" s="1"/>
  <c r="L569" i="1"/>
  <c r="P568" i="1"/>
  <c r="O568" i="1" s="1"/>
  <c r="L568" i="1"/>
  <c r="P567" i="1"/>
  <c r="O567" i="1" s="1"/>
  <c r="L567" i="1"/>
  <c r="P566" i="1"/>
  <c r="O566" i="1" s="1"/>
  <c r="L566" i="1"/>
  <c r="P565" i="1"/>
  <c r="O565" i="1" s="1"/>
  <c r="L565" i="1"/>
  <c r="P564" i="1"/>
  <c r="O564" i="1" s="1"/>
  <c r="L564" i="1"/>
  <c r="P563" i="1"/>
  <c r="O563" i="1" s="1"/>
  <c r="L563" i="1"/>
  <c r="P562" i="1"/>
  <c r="O562" i="1" s="1"/>
  <c r="L562" i="1"/>
  <c r="P561" i="1"/>
  <c r="O561" i="1" s="1"/>
  <c r="L561" i="1"/>
  <c r="P560" i="1"/>
  <c r="O560" i="1" s="1"/>
  <c r="L560" i="1"/>
  <c r="P559" i="1"/>
  <c r="O559" i="1" s="1"/>
  <c r="L559" i="1"/>
  <c r="P558" i="1"/>
  <c r="O558" i="1" s="1"/>
  <c r="L558" i="1"/>
  <c r="P557" i="1"/>
  <c r="O557" i="1" s="1"/>
  <c r="L557" i="1"/>
  <c r="P556" i="1"/>
  <c r="O556" i="1" s="1"/>
  <c r="L556" i="1"/>
  <c r="P555" i="1"/>
  <c r="O555" i="1" s="1"/>
  <c r="L555" i="1"/>
  <c r="P554" i="1"/>
  <c r="O554" i="1" s="1"/>
  <c r="L554" i="1"/>
  <c r="P553" i="1"/>
  <c r="O553" i="1" s="1"/>
  <c r="L553" i="1"/>
  <c r="P552" i="1"/>
  <c r="O552" i="1" s="1"/>
  <c r="L552" i="1"/>
  <c r="P551" i="1"/>
  <c r="O551" i="1" s="1"/>
  <c r="L551" i="1"/>
  <c r="P550" i="1"/>
  <c r="O550" i="1" s="1"/>
  <c r="L550" i="1"/>
  <c r="P549" i="1"/>
  <c r="O549" i="1" s="1"/>
  <c r="L549" i="1"/>
  <c r="P548" i="1"/>
  <c r="O548" i="1" s="1"/>
  <c r="L548" i="1"/>
  <c r="P547" i="1"/>
  <c r="O547" i="1" s="1"/>
  <c r="L547" i="1"/>
  <c r="P546" i="1"/>
  <c r="O546" i="1" s="1"/>
  <c r="L546" i="1"/>
  <c r="P545" i="1"/>
  <c r="O545" i="1" s="1"/>
  <c r="L545" i="1"/>
  <c r="P544" i="1"/>
  <c r="O544" i="1" s="1"/>
  <c r="L544" i="1"/>
  <c r="P543" i="1"/>
  <c r="O543" i="1" s="1"/>
  <c r="L543" i="1"/>
  <c r="P542" i="1"/>
  <c r="O542" i="1" s="1"/>
  <c r="L542" i="1"/>
  <c r="P541" i="1"/>
  <c r="O541" i="1" s="1"/>
  <c r="L541" i="1"/>
  <c r="P540" i="1"/>
  <c r="O540" i="1" s="1"/>
  <c r="L540" i="1"/>
  <c r="P539" i="1"/>
  <c r="O539" i="1" s="1"/>
  <c r="L539" i="1"/>
  <c r="P538" i="1"/>
  <c r="O538" i="1" s="1"/>
  <c r="L538" i="1"/>
  <c r="P537" i="1"/>
  <c r="O537" i="1" s="1"/>
  <c r="L537" i="1"/>
  <c r="P536" i="1"/>
  <c r="O536" i="1" s="1"/>
  <c r="L536" i="1"/>
  <c r="P535" i="1"/>
  <c r="O535" i="1" s="1"/>
  <c r="L535" i="1"/>
  <c r="P534" i="1"/>
  <c r="O534" i="1" s="1"/>
  <c r="L534" i="1"/>
  <c r="P533" i="1"/>
  <c r="O533" i="1" s="1"/>
  <c r="L533" i="1"/>
  <c r="P532" i="1"/>
  <c r="O532" i="1" s="1"/>
  <c r="L532" i="1"/>
  <c r="P531" i="1"/>
  <c r="O531" i="1" s="1"/>
  <c r="L531" i="1"/>
  <c r="P530" i="1"/>
  <c r="O530" i="1" s="1"/>
  <c r="L530" i="1"/>
  <c r="P529" i="1"/>
  <c r="O529" i="1" s="1"/>
  <c r="L529" i="1"/>
  <c r="P528" i="1"/>
  <c r="O528" i="1" s="1"/>
  <c r="L528" i="1"/>
  <c r="P527" i="1"/>
  <c r="O527" i="1" s="1"/>
  <c r="L527" i="1"/>
  <c r="P526" i="1"/>
  <c r="O526" i="1" s="1"/>
  <c r="L526" i="1"/>
  <c r="P525" i="1"/>
  <c r="O525" i="1" s="1"/>
  <c r="L525" i="1"/>
  <c r="P524" i="1"/>
  <c r="O524" i="1" s="1"/>
  <c r="L524" i="1"/>
  <c r="P523" i="1"/>
  <c r="O523" i="1" s="1"/>
  <c r="L523" i="1"/>
  <c r="P522" i="1"/>
  <c r="O522" i="1" s="1"/>
  <c r="L522" i="1"/>
  <c r="P521" i="1"/>
  <c r="O521" i="1" s="1"/>
  <c r="L521" i="1"/>
  <c r="P520" i="1"/>
  <c r="O520" i="1" s="1"/>
  <c r="L520" i="1"/>
  <c r="P519" i="1"/>
  <c r="O519" i="1" s="1"/>
  <c r="L519" i="1"/>
  <c r="P518" i="1"/>
  <c r="O518" i="1" s="1"/>
  <c r="L518" i="1"/>
  <c r="P517" i="1"/>
  <c r="O517" i="1" s="1"/>
  <c r="L517" i="1"/>
  <c r="P516" i="1"/>
  <c r="O516" i="1" s="1"/>
  <c r="L516" i="1"/>
  <c r="P515" i="1"/>
  <c r="O515" i="1" s="1"/>
  <c r="L515" i="1"/>
  <c r="P514" i="1"/>
  <c r="O514" i="1" s="1"/>
  <c r="L514" i="1"/>
  <c r="P513" i="1"/>
  <c r="O513" i="1" s="1"/>
  <c r="L513" i="1"/>
  <c r="P512" i="1"/>
  <c r="O512" i="1" s="1"/>
  <c r="L512" i="1"/>
  <c r="P511" i="1"/>
  <c r="O511" i="1" s="1"/>
  <c r="L511" i="1"/>
  <c r="P510" i="1"/>
  <c r="O510" i="1" s="1"/>
  <c r="L510" i="1"/>
  <c r="P509" i="1"/>
  <c r="O509" i="1" s="1"/>
  <c r="L509" i="1"/>
  <c r="P508" i="1"/>
  <c r="O508" i="1" s="1"/>
  <c r="L508" i="1"/>
  <c r="P507" i="1"/>
  <c r="O507" i="1" s="1"/>
  <c r="L507" i="1"/>
  <c r="P506" i="1"/>
  <c r="O506" i="1" s="1"/>
  <c r="L506" i="1"/>
  <c r="P505" i="1"/>
  <c r="O505" i="1" s="1"/>
  <c r="L505" i="1"/>
  <c r="P504" i="1"/>
  <c r="O504" i="1" s="1"/>
  <c r="L504" i="1"/>
  <c r="P503" i="1"/>
  <c r="O503" i="1" s="1"/>
  <c r="L503" i="1"/>
  <c r="P502" i="1"/>
  <c r="O502" i="1" s="1"/>
  <c r="L502" i="1"/>
  <c r="P501" i="1"/>
  <c r="O501" i="1" s="1"/>
  <c r="L501" i="1"/>
  <c r="P500" i="1"/>
  <c r="O500" i="1" s="1"/>
  <c r="L500" i="1"/>
  <c r="P499" i="1"/>
  <c r="O499" i="1" s="1"/>
  <c r="L499" i="1"/>
  <c r="P498" i="1"/>
  <c r="O498" i="1" s="1"/>
  <c r="L498" i="1"/>
  <c r="P497" i="1"/>
  <c r="O497" i="1" s="1"/>
  <c r="L497" i="1"/>
  <c r="P496" i="1"/>
  <c r="O496" i="1" s="1"/>
  <c r="L496" i="1"/>
  <c r="P495" i="1"/>
  <c r="O495" i="1" s="1"/>
  <c r="L495" i="1"/>
  <c r="P494" i="1"/>
  <c r="O494" i="1" s="1"/>
  <c r="L494" i="1"/>
  <c r="P493" i="1"/>
  <c r="O493" i="1" s="1"/>
  <c r="L493" i="1"/>
  <c r="P492" i="1"/>
  <c r="O492" i="1" s="1"/>
  <c r="L492" i="1"/>
  <c r="P491" i="1"/>
  <c r="O491" i="1" s="1"/>
  <c r="L491" i="1"/>
  <c r="P490" i="1"/>
  <c r="O490" i="1" s="1"/>
  <c r="L490" i="1"/>
  <c r="P489" i="1"/>
  <c r="O489" i="1" s="1"/>
  <c r="L489" i="1"/>
  <c r="P488" i="1"/>
  <c r="O488" i="1" s="1"/>
  <c r="L488" i="1"/>
  <c r="P487" i="1"/>
  <c r="O487" i="1" s="1"/>
  <c r="L487" i="1"/>
  <c r="P486" i="1"/>
  <c r="O486" i="1" s="1"/>
  <c r="L486" i="1"/>
  <c r="P485" i="1"/>
  <c r="O485" i="1" s="1"/>
  <c r="L485" i="1"/>
  <c r="P484" i="1"/>
  <c r="O484" i="1" s="1"/>
  <c r="L484" i="1"/>
  <c r="P483" i="1"/>
  <c r="O483" i="1" s="1"/>
  <c r="L483" i="1"/>
  <c r="P482" i="1"/>
  <c r="O482" i="1" s="1"/>
  <c r="L482" i="1"/>
  <c r="P481" i="1"/>
  <c r="O481" i="1" s="1"/>
  <c r="L481" i="1"/>
  <c r="P480" i="1"/>
  <c r="O480" i="1" s="1"/>
  <c r="L480" i="1"/>
  <c r="P479" i="1"/>
  <c r="O479" i="1" s="1"/>
  <c r="L479" i="1"/>
  <c r="P478" i="1"/>
  <c r="O478" i="1" s="1"/>
  <c r="L478" i="1"/>
  <c r="P477" i="1"/>
  <c r="O477" i="1" s="1"/>
  <c r="L477" i="1"/>
  <c r="P476" i="1"/>
  <c r="O476" i="1" s="1"/>
  <c r="L476" i="1"/>
  <c r="P475" i="1"/>
  <c r="O475" i="1" s="1"/>
  <c r="L475" i="1"/>
  <c r="P474" i="1"/>
  <c r="O474" i="1" s="1"/>
  <c r="L474" i="1"/>
  <c r="P473" i="1"/>
  <c r="O473" i="1" s="1"/>
  <c r="L473" i="1"/>
  <c r="P472" i="1"/>
  <c r="O472" i="1" s="1"/>
  <c r="L472" i="1"/>
  <c r="P471" i="1"/>
  <c r="O471" i="1" s="1"/>
  <c r="L471" i="1"/>
  <c r="P470" i="1"/>
  <c r="O470" i="1" s="1"/>
  <c r="L470" i="1"/>
  <c r="P469" i="1"/>
  <c r="O469" i="1" s="1"/>
  <c r="L469" i="1"/>
  <c r="P468" i="1"/>
  <c r="O468" i="1" s="1"/>
  <c r="L468" i="1"/>
  <c r="P467" i="1"/>
  <c r="O467" i="1" s="1"/>
  <c r="L467" i="1"/>
  <c r="P466" i="1"/>
  <c r="O466" i="1" s="1"/>
  <c r="L466" i="1"/>
  <c r="P465" i="1"/>
  <c r="O465" i="1" s="1"/>
  <c r="L465" i="1"/>
  <c r="P464" i="1"/>
  <c r="O464" i="1" s="1"/>
  <c r="L464" i="1"/>
  <c r="P463" i="1"/>
  <c r="O463" i="1" s="1"/>
  <c r="L463" i="1"/>
  <c r="P462" i="1"/>
  <c r="O462" i="1" s="1"/>
  <c r="L462" i="1"/>
  <c r="P461" i="1"/>
  <c r="O461" i="1" s="1"/>
  <c r="L461" i="1"/>
  <c r="P460" i="1"/>
  <c r="O460" i="1" s="1"/>
  <c r="L460" i="1"/>
  <c r="P459" i="1"/>
  <c r="O459" i="1" s="1"/>
  <c r="L459" i="1"/>
  <c r="P458" i="1"/>
  <c r="O458" i="1" s="1"/>
  <c r="L458" i="1"/>
  <c r="P457" i="1"/>
  <c r="O457" i="1" s="1"/>
  <c r="L457" i="1"/>
  <c r="P456" i="1"/>
  <c r="O456" i="1" s="1"/>
  <c r="L456" i="1"/>
  <c r="P455" i="1"/>
  <c r="O455" i="1" s="1"/>
  <c r="L455" i="1"/>
  <c r="P454" i="1"/>
  <c r="O454" i="1" s="1"/>
  <c r="L454" i="1"/>
  <c r="P453" i="1"/>
  <c r="O453" i="1" s="1"/>
  <c r="L453" i="1"/>
  <c r="P452" i="1"/>
  <c r="O452" i="1" s="1"/>
  <c r="L452" i="1"/>
  <c r="P451" i="1"/>
  <c r="O451" i="1" s="1"/>
  <c r="L451" i="1"/>
  <c r="P450" i="1"/>
  <c r="O450" i="1" s="1"/>
  <c r="L450" i="1"/>
  <c r="P449" i="1"/>
  <c r="O449" i="1" s="1"/>
  <c r="L449" i="1"/>
  <c r="P448" i="1"/>
  <c r="O448" i="1" s="1"/>
  <c r="L448" i="1"/>
  <c r="P447" i="1"/>
  <c r="O447" i="1" s="1"/>
  <c r="L447" i="1"/>
  <c r="P446" i="1"/>
  <c r="O446" i="1" s="1"/>
  <c r="L446" i="1"/>
  <c r="P445" i="1"/>
  <c r="O445" i="1" s="1"/>
  <c r="L445" i="1"/>
  <c r="P444" i="1"/>
  <c r="O444" i="1" s="1"/>
  <c r="L444" i="1"/>
  <c r="P443" i="1"/>
  <c r="O443" i="1" s="1"/>
  <c r="L443" i="1"/>
  <c r="P442" i="1"/>
  <c r="O442" i="1" s="1"/>
  <c r="L442" i="1"/>
  <c r="P441" i="1"/>
  <c r="O441" i="1" s="1"/>
  <c r="L441" i="1"/>
  <c r="P440" i="1"/>
  <c r="O440" i="1" s="1"/>
  <c r="L440" i="1"/>
  <c r="P439" i="1"/>
  <c r="O439" i="1" s="1"/>
  <c r="L439" i="1"/>
  <c r="P438" i="1"/>
  <c r="O438" i="1" s="1"/>
  <c r="L438" i="1"/>
  <c r="P437" i="1"/>
  <c r="O437" i="1" s="1"/>
  <c r="L437" i="1"/>
  <c r="P436" i="1"/>
  <c r="O436" i="1" s="1"/>
  <c r="L436" i="1"/>
  <c r="P435" i="1"/>
  <c r="O435" i="1" s="1"/>
  <c r="L435" i="1"/>
  <c r="P434" i="1"/>
  <c r="O434" i="1" s="1"/>
  <c r="L434" i="1"/>
  <c r="P433" i="1"/>
  <c r="O433" i="1" s="1"/>
  <c r="L433" i="1"/>
  <c r="P432" i="1"/>
  <c r="O432" i="1" s="1"/>
  <c r="L432" i="1"/>
  <c r="P431" i="1"/>
  <c r="O431" i="1" s="1"/>
  <c r="L431" i="1"/>
  <c r="P430" i="1"/>
  <c r="O430" i="1" s="1"/>
  <c r="L430" i="1"/>
  <c r="P429" i="1"/>
  <c r="O429" i="1" s="1"/>
  <c r="L429" i="1"/>
  <c r="P428" i="1"/>
  <c r="O428" i="1" s="1"/>
  <c r="L428" i="1"/>
  <c r="P427" i="1"/>
  <c r="O427" i="1" s="1"/>
  <c r="L427" i="1"/>
  <c r="P426" i="1"/>
  <c r="O426" i="1" s="1"/>
  <c r="L426" i="1"/>
  <c r="P425" i="1"/>
  <c r="O425" i="1" s="1"/>
  <c r="L425" i="1"/>
  <c r="P424" i="1"/>
  <c r="O424" i="1" s="1"/>
  <c r="L424" i="1"/>
  <c r="P423" i="1"/>
  <c r="O423" i="1" s="1"/>
  <c r="L423" i="1"/>
  <c r="P422" i="1"/>
  <c r="O422" i="1" s="1"/>
  <c r="L422" i="1"/>
  <c r="P421" i="1"/>
  <c r="O421" i="1" s="1"/>
  <c r="L421" i="1"/>
  <c r="P420" i="1"/>
  <c r="O420" i="1" s="1"/>
  <c r="L420" i="1"/>
  <c r="P419" i="1"/>
  <c r="O419" i="1" s="1"/>
  <c r="L419" i="1"/>
  <c r="P418" i="1"/>
  <c r="O418" i="1" s="1"/>
  <c r="L418" i="1"/>
  <c r="P417" i="1"/>
  <c r="O417" i="1" s="1"/>
  <c r="L417" i="1"/>
  <c r="P416" i="1"/>
  <c r="O416" i="1" s="1"/>
  <c r="L416" i="1"/>
  <c r="P415" i="1"/>
  <c r="O415" i="1" s="1"/>
  <c r="L415" i="1"/>
  <c r="P414" i="1"/>
  <c r="O414" i="1" s="1"/>
  <c r="L414" i="1"/>
  <c r="P413" i="1"/>
  <c r="O413" i="1" s="1"/>
  <c r="L413" i="1"/>
  <c r="P412" i="1"/>
  <c r="O412" i="1" s="1"/>
  <c r="L412" i="1"/>
  <c r="P411" i="1"/>
  <c r="O411" i="1" s="1"/>
  <c r="L411" i="1"/>
  <c r="P410" i="1"/>
  <c r="O410" i="1" s="1"/>
  <c r="L410" i="1"/>
  <c r="P409" i="1"/>
  <c r="O409" i="1" s="1"/>
  <c r="L409" i="1"/>
  <c r="P408" i="1"/>
  <c r="O408" i="1" s="1"/>
  <c r="L408" i="1"/>
  <c r="P407" i="1"/>
  <c r="O407" i="1" s="1"/>
  <c r="L407" i="1"/>
  <c r="P406" i="1"/>
  <c r="O406" i="1" s="1"/>
  <c r="L406" i="1"/>
  <c r="P405" i="1"/>
  <c r="O405" i="1" s="1"/>
  <c r="L405" i="1"/>
  <c r="P404" i="1"/>
  <c r="O404" i="1" s="1"/>
  <c r="L404" i="1"/>
  <c r="P403" i="1"/>
  <c r="O403" i="1" s="1"/>
  <c r="L403" i="1"/>
  <c r="P402" i="1"/>
  <c r="O402" i="1" s="1"/>
  <c r="L402" i="1"/>
  <c r="P401" i="1"/>
  <c r="O401" i="1" s="1"/>
  <c r="L401" i="1"/>
  <c r="P400" i="1"/>
  <c r="O400" i="1" s="1"/>
  <c r="L400" i="1"/>
  <c r="P399" i="1"/>
  <c r="O399" i="1" s="1"/>
  <c r="L399" i="1"/>
  <c r="P398" i="1"/>
  <c r="O398" i="1" s="1"/>
  <c r="L398" i="1"/>
  <c r="P397" i="1"/>
  <c r="O397" i="1" s="1"/>
  <c r="L397" i="1"/>
  <c r="P396" i="1"/>
  <c r="O396" i="1" s="1"/>
  <c r="L396" i="1"/>
  <c r="P395" i="1"/>
  <c r="O395" i="1" s="1"/>
  <c r="L395" i="1"/>
  <c r="P394" i="1"/>
  <c r="O394" i="1" s="1"/>
  <c r="L394" i="1"/>
  <c r="P393" i="1"/>
  <c r="O393" i="1" s="1"/>
  <c r="L393" i="1"/>
  <c r="P392" i="1"/>
  <c r="O392" i="1" s="1"/>
  <c r="L392" i="1"/>
  <c r="P391" i="1"/>
  <c r="O391" i="1" s="1"/>
  <c r="L391" i="1"/>
  <c r="P390" i="1"/>
  <c r="O390" i="1" s="1"/>
  <c r="L390" i="1"/>
  <c r="P389" i="1"/>
  <c r="O389" i="1" s="1"/>
  <c r="L389" i="1"/>
  <c r="P388" i="1"/>
  <c r="O388" i="1" s="1"/>
  <c r="L388" i="1"/>
  <c r="P387" i="1"/>
  <c r="O387" i="1" s="1"/>
  <c r="L387" i="1"/>
  <c r="P386" i="1"/>
  <c r="O386" i="1" s="1"/>
  <c r="L386" i="1"/>
  <c r="P385" i="1"/>
  <c r="O385" i="1" s="1"/>
  <c r="L385" i="1"/>
  <c r="P384" i="1"/>
  <c r="O384" i="1" s="1"/>
  <c r="L384" i="1"/>
  <c r="P383" i="1"/>
  <c r="O383" i="1" s="1"/>
  <c r="L383" i="1"/>
  <c r="P382" i="1"/>
  <c r="O382" i="1" s="1"/>
  <c r="L382" i="1"/>
  <c r="P381" i="1"/>
  <c r="O381" i="1" s="1"/>
  <c r="L381" i="1"/>
  <c r="P380" i="1"/>
  <c r="O380" i="1" s="1"/>
  <c r="L380" i="1"/>
  <c r="P379" i="1"/>
  <c r="O379" i="1" s="1"/>
  <c r="L379" i="1"/>
  <c r="P378" i="1"/>
  <c r="O378" i="1" s="1"/>
  <c r="L378" i="1"/>
  <c r="P377" i="1"/>
  <c r="O377" i="1" s="1"/>
  <c r="L377" i="1"/>
  <c r="P376" i="1"/>
  <c r="O376" i="1" s="1"/>
  <c r="L376" i="1"/>
  <c r="P375" i="1"/>
  <c r="O375" i="1" s="1"/>
  <c r="L375" i="1"/>
  <c r="P374" i="1"/>
  <c r="O374" i="1" s="1"/>
  <c r="L374" i="1"/>
  <c r="P373" i="1"/>
  <c r="O373" i="1" s="1"/>
  <c r="L373" i="1"/>
  <c r="P372" i="1"/>
  <c r="O372" i="1" s="1"/>
  <c r="L372" i="1"/>
  <c r="P371" i="1"/>
  <c r="O371" i="1" s="1"/>
  <c r="L371" i="1"/>
  <c r="P370" i="1"/>
  <c r="O370" i="1" s="1"/>
  <c r="L370" i="1"/>
  <c r="P369" i="1"/>
  <c r="O369" i="1" s="1"/>
  <c r="L369" i="1"/>
  <c r="P368" i="1"/>
  <c r="O368" i="1" s="1"/>
  <c r="L368" i="1"/>
  <c r="P367" i="1"/>
  <c r="O367" i="1" s="1"/>
  <c r="L367" i="1"/>
  <c r="P366" i="1"/>
  <c r="O366" i="1" s="1"/>
  <c r="L366" i="1"/>
  <c r="P365" i="1"/>
  <c r="O365" i="1" s="1"/>
  <c r="L365" i="1"/>
  <c r="P364" i="1"/>
  <c r="O364" i="1" s="1"/>
  <c r="L364" i="1"/>
  <c r="P363" i="1"/>
  <c r="O363" i="1" s="1"/>
  <c r="L363" i="1"/>
  <c r="P362" i="1"/>
  <c r="O362" i="1" s="1"/>
  <c r="L362" i="1"/>
  <c r="P361" i="1"/>
  <c r="O361" i="1" s="1"/>
  <c r="L361" i="1"/>
  <c r="P360" i="1"/>
  <c r="O360" i="1" s="1"/>
  <c r="L360" i="1"/>
  <c r="P359" i="1"/>
  <c r="O359" i="1" s="1"/>
  <c r="L359" i="1"/>
  <c r="P358" i="1"/>
  <c r="O358" i="1" s="1"/>
  <c r="L358" i="1"/>
  <c r="P357" i="1"/>
  <c r="O357" i="1" s="1"/>
  <c r="L357" i="1"/>
  <c r="P356" i="1"/>
  <c r="O356" i="1" s="1"/>
  <c r="L356" i="1"/>
  <c r="P355" i="1"/>
  <c r="O355" i="1" s="1"/>
  <c r="L355" i="1"/>
  <c r="P354" i="1"/>
  <c r="O354" i="1" s="1"/>
  <c r="L354" i="1"/>
  <c r="P353" i="1"/>
  <c r="O353" i="1" s="1"/>
  <c r="L353" i="1"/>
  <c r="P352" i="1"/>
  <c r="O352" i="1" s="1"/>
  <c r="L352" i="1"/>
  <c r="P351" i="1"/>
  <c r="O351" i="1" s="1"/>
  <c r="L351" i="1"/>
  <c r="P350" i="1"/>
  <c r="O350" i="1" s="1"/>
  <c r="L350" i="1"/>
  <c r="P349" i="1"/>
  <c r="O349" i="1" s="1"/>
  <c r="L349" i="1"/>
  <c r="P348" i="1"/>
  <c r="O348" i="1" s="1"/>
  <c r="L348" i="1"/>
  <c r="P347" i="1"/>
  <c r="O347" i="1" s="1"/>
  <c r="L347" i="1"/>
  <c r="P346" i="1"/>
  <c r="O346" i="1" s="1"/>
  <c r="L346" i="1"/>
  <c r="P345" i="1"/>
  <c r="O345" i="1" s="1"/>
  <c r="L345" i="1"/>
  <c r="P344" i="1"/>
  <c r="O344" i="1" s="1"/>
  <c r="L344" i="1"/>
  <c r="P343" i="1"/>
  <c r="O343" i="1" s="1"/>
  <c r="L343" i="1"/>
  <c r="P342" i="1"/>
  <c r="O342" i="1" s="1"/>
  <c r="L342" i="1"/>
  <c r="P341" i="1"/>
  <c r="O341" i="1" s="1"/>
  <c r="L341" i="1"/>
  <c r="P340" i="1"/>
  <c r="O340" i="1" s="1"/>
  <c r="L340" i="1"/>
  <c r="P339" i="1"/>
  <c r="O339" i="1" s="1"/>
  <c r="L339" i="1"/>
  <c r="P338" i="1"/>
  <c r="O338" i="1" s="1"/>
  <c r="L338" i="1"/>
  <c r="P337" i="1"/>
  <c r="O337" i="1" s="1"/>
  <c r="L337" i="1"/>
  <c r="P336" i="1"/>
  <c r="O336" i="1" s="1"/>
  <c r="L336" i="1"/>
  <c r="P335" i="1"/>
  <c r="O335" i="1" s="1"/>
  <c r="L335" i="1"/>
  <c r="P334" i="1"/>
  <c r="O334" i="1" s="1"/>
  <c r="L334" i="1"/>
  <c r="P333" i="1"/>
  <c r="O333" i="1" s="1"/>
  <c r="L333" i="1"/>
  <c r="P332" i="1"/>
  <c r="O332" i="1" s="1"/>
  <c r="L332" i="1"/>
  <c r="P331" i="1"/>
  <c r="O331" i="1" s="1"/>
  <c r="L331" i="1"/>
  <c r="P330" i="1"/>
  <c r="O330" i="1" s="1"/>
  <c r="L330" i="1"/>
  <c r="P329" i="1"/>
  <c r="O329" i="1" s="1"/>
  <c r="L329" i="1"/>
  <c r="P328" i="1"/>
  <c r="O328" i="1" s="1"/>
  <c r="L328" i="1"/>
  <c r="P327" i="1"/>
  <c r="O327" i="1" s="1"/>
  <c r="L327" i="1"/>
  <c r="P326" i="1"/>
  <c r="O326" i="1" s="1"/>
  <c r="L326" i="1"/>
  <c r="P325" i="1"/>
  <c r="O325" i="1" s="1"/>
  <c r="L325" i="1"/>
  <c r="P324" i="1"/>
  <c r="O324" i="1" s="1"/>
  <c r="L324" i="1"/>
  <c r="P323" i="1"/>
  <c r="O323" i="1" s="1"/>
  <c r="L323" i="1"/>
  <c r="P322" i="1"/>
  <c r="O322" i="1" s="1"/>
  <c r="L322" i="1"/>
  <c r="P321" i="1"/>
  <c r="O321" i="1" s="1"/>
  <c r="L321" i="1"/>
  <c r="P320" i="1"/>
  <c r="O320" i="1" s="1"/>
  <c r="L320" i="1"/>
  <c r="P319" i="1"/>
  <c r="O319" i="1" s="1"/>
  <c r="L319" i="1"/>
  <c r="P318" i="1"/>
  <c r="O318" i="1" s="1"/>
  <c r="L318" i="1"/>
  <c r="P317" i="1"/>
  <c r="O317" i="1" s="1"/>
  <c r="L317" i="1"/>
  <c r="P316" i="1"/>
  <c r="O316" i="1" s="1"/>
  <c r="L316" i="1"/>
  <c r="P315" i="1"/>
  <c r="O315" i="1" s="1"/>
  <c r="L315" i="1"/>
  <c r="P314" i="1"/>
  <c r="O314" i="1" s="1"/>
  <c r="L314" i="1"/>
  <c r="P313" i="1"/>
  <c r="O313" i="1" s="1"/>
  <c r="L313" i="1"/>
  <c r="P312" i="1"/>
  <c r="O312" i="1" s="1"/>
  <c r="L312" i="1"/>
  <c r="P311" i="1"/>
  <c r="O311" i="1" s="1"/>
  <c r="L311" i="1"/>
  <c r="P279" i="1"/>
  <c r="O279" i="1" s="1"/>
  <c r="L279" i="1"/>
  <c r="P278" i="1"/>
  <c r="O278" i="1" s="1"/>
  <c r="L278" i="1"/>
  <c r="P277" i="1"/>
  <c r="O277" i="1" s="1"/>
  <c r="L277" i="1"/>
  <c r="P276" i="1"/>
  <c r="O276" i="1" s="1"/>
  <c r="L276" i="1"/>
  <c r="P275" i="1"/>
  <c r="O275" i="1" s="1"/>
  <c r="L275" i="1"/>
  <c r="P274" i="1"/>
  <c r="O274" i="1" s="1"/>
  <c r="L274" i="1"/>
  <c r="P285" i="1"/>
  <c r="O285" i="1" s="1"/>
  <c r="L285" i="1"/>
  <c r="P284" i="1"/>
  <c r="O284" i="1" s="1"/>
  <c r="L284" i="1"/>
  <c r="P283" i="1"/>
  <c r="O283" i="1" s="1"/>
  <c r="L283" i="1"/>
  <c r="P282" i="1"/>
  <c r="O282" i="1" s="1"/>
  <c r="L282" i="1"/>
  <c r="P281" i="1"/>
  <c r="O281" i="1" s="1"/>
  <c r="L281" i="1"/>
  <c r="P280" i="1"/>
  <c r="O280" i="1" s="1"/>
  <c r="L280" i="1"/>
  <c r="P294" i="1"/>
  <c r="O294" i="1" s="1"/>
  <c r="L294" i="1"/>
  <c r="P293" i="1"/>
  <c r="O293" i="1" s="1"/>
  <c r="L293" i="1"/>
  <c r="P292" i="1"/>
  <c r="O292" i="1" s="1"/>
  <c r="L292" i="1"/>
  <c r="P291" i="1"/>
  <c r="O291" i="1" s="1"/>
  <c r="L291" i="1"/>
  <c r="P290" i="1"/>
  <c r="O290" i="1" s="1"/>
  <c r="L290" i="1"/>
  <c r="P289" i="1"/>
  <c r="O289" i="1" s="1"/>
  <c r="L289" i="1"/>
  <c r="P288" i="1"/>
  <c r="O288" i="1" s="1"/>
  <c r="L288" i="1"/>
  <c r="P287" i="1"/>
  <c r="O287" i="1" s="1"/>
  <c r="L287" i="1"/>
  <c r="P286" i="1"/>
  <c r="O286" i="1" s="1"/>
  <c r="L286" i="1"/>
  <c r="P302" i="1"/>
  <c r="O302" i="1" s="1"/>
  <c r="L302" i="1"/>
  <c r="P301" i="1"/>
  <c r="O301" i="1" s="1"/>
  <c r="L301" i="1"/>
  <c r="P300" i="1"/>
  <c r="O300" i="1" s="1"/>
  <c r="L300" i="1"/>
  <c r="P299" i="1"/>
  <c r="O299" i="1" s="1"/>
  <c r="L299" i="1"/>
  <c r="P298" i="1"/>
  <c r="O298" i="1" s="1"/>
  <c r="L298" i="1"/>
  <c r="P297" i="1"/>
  <c r="O297" i="1" s="1"/>
  <c r="L297" i="1"/>
  <c r="P296" i="1"/>
  <c r="O296" i="1" s="1"/>
  <c r="L296" i="1"/>
  <c r="P295" i="1"/>
  <c r="O295" i="1" s="1"/>
  <c r="L295" i="1"/>
  <c r="P308" i="1"/>
  <c r="O308" i="1" s="1"/>
  <c r="L308" i="1"/>
  <c r="P307" i="1"/>
  <c r="O307" i="1" s="1"/>
  <c r="L307" i="1"/>
  <c r="P306" i="1"/>
  <c r="O306" i="1" s="1"/>
  <c r="L306" i="1"/>
  <c r="P305" i="1"/>
  <c r="O305" i="1" s="1"/>
  <c r="L305" i="1"/>
  <c r="P304" i="1"/>
  <c r="O304" i="1" s="1"/>
  <c r="L304" i="1"/>
  <c r="P303" i="1"/>
  <c r="O303" i="1" s="1"/>
  <c r="L303" i="1"/>
  <c r="P310" i="1"/>
  <c r="O310" i="1" s="1"/>
  <c r="L310" i="1"/>
  <c r="P309" i="1"/>
  <c r="O309" i="1" s="1"/>
  <c r="L309" i="1"/>
  <c r="P273" i="1"/>
  <c r="O273" i="1" s="1"/>
  <c r="L273" i="1"/>
  <c r="P272" i="1"/>
  <c r="O272" i="1" s="1"/>
  <c r="L272" i="1"/>
  <c r="P271" i="1"/>
  <c r="O271" i="1" s="1"/>
  <c r="L271" i="1"/>
  <c r="P270" i="1"/>
  <c r="O270" i="1" s="1"/>
  <c r="L270" i="1"/>
  <c r="P269" i="1"/>
  <c r="O269" i="1" s="1"/>
  <c r="L269" i="1"/>
  <c r="P268" i="1"/>
  <c r="O268" i="1" s="1"/>
  <c r="L268" i="1"/>
  <c r="P267" i="1"/>
  <c r="O267" i="1" s="1"/>
  <c r="L267" i="1"/>
  <c r="P266" i="1"/>
  <c r="O266" i="1" s="1"/>
  <c r="L266" i="1"/>
  <c r="P265" i="1"/>
  <c r="O265" i="1" s="1"/>
  <c r="L265" i="1"/>
  <c r="P264" i="1"/>
  <c r="O264" i="1" s="1"/>
  <c r="L264" i="1"/>
  <c r="P263" i="1"/>
  <c r="O263" i="1" s="1"/>
  <c r="L263" i="1"/>
  <c r="P262" i="1"/>
  <c r="O262" i="1" s="1"/>
  <c r="L262" i="1"/>
  <c r="P261" i="1"/>
  <c r="O261" i="1" s="1"/>
  <c r="L261" i="1"/>
  <c r="P260" i="1"/>
  <c r="O260" i="1" s="1"/>
  <c r="L260" i="1"/>
  <c r="P259" i="1"/>
  <c r="O259" i="1" s="1"/>
  <c r="L259" i="1"/>
  <c r="P258" i="1"/>
  <c r="O258" i="1" s="1"/>
  <c r="L258" i="1"/>
  <c r="P257" i="1"/>
  <c r="O257" i="1" s="1"/>
  <c r="L257" i="1"/>
  <c r="P256" i="1"/>
  <c r="O256" i="1" s="1"/>
  <c r="L256" i="1"/>
  <c r="P255" i="1"/>
  <c r="O255" i="1" s="1"/>
  <c r="L255" i="1"/>
  <c r="P254" i="1"/>
  <c r="O254" i="1" s="1"/>
  <c r="L254" i="1"/>
  <c r="P253" i="1"/>
  <c r="O253" i="1" s="1"/>
  <c r="L253" i="1"/>
  <c r="L252" i="1"/>
  <c r="P251" i="1"/>
  <c r="O251" i="1" s="1"/>
  <c r="L251" i="1"/>
  <c r="P250" i="1"/>
  <c r="O250" i="1" s="1"/>
  <c r="L250" i="1"/>
  <c r="P249" i="1"/>
  <c r="O249" i="1" s="1"/>
  <c r="L249" i="1"/>
  <c r="P248" i="1"/>
  <c r="O248" i="1" s="1"/>
  <c r="L248" i="1"/>
  <c r="P247" i="1"/>
  <c r="O247" i="1" s="1"/>
  <c r="L247" i="1"/>
  <c r="P246" i="1"/>
  <c r="O246" i="1" s="1"/>
  <c r="L246" i="1"/>
  <c r="P245" i="1"/>
  <c r="O245" i="1" s="1"/>
  <c r="L245" i="1"/>
  <c r="P244" i="1"/>
  <c r="O244" i="1" s="1"/>
  <c r="L244" i="1"/>
  <c r="P243" i="1"/>
  <c r="O243" i="1" s="1"/>
  <c r="L243" i="1"/>
  <c r="P242" i="1"/>
  <c r="O242" i="1" s="1"/>
  <c r="L242" i="1"/>
  <c r="P241" i="1"/>
  <c r="O241" i="1" s="1"/>
  <c r="L241" i="1"/>
  <c r="P240" i="1"/>
  <c r="O240" i="1" s="1"/>
  <c r="L240" i="1"/>
  <c r="P239" i="1"/>
  <c r="O239" i="1" s="1"/>
  <c r="L239" i="1"/>
  <c r="P238" i="1"/>
  <c r="O238" i="1" s="1"/>
  <c r="L238" i="1"/>
  <c r="P237" i="1"/>
  <c r="O237" i="1" s="1"/>
  <c r="L237" i="1"/>
  <c r="P236" i="1"/>
  <c r="O236" i="1" s="1"/>
  <c r="L236" i="1"/>
  <c r="P235" i="1"/>
  <c r="O235" i="1" s="1"/>
  <c r="L235" i="1"/>
  <c r="P234" i="1"/>
  <c r="O234" i="1" s="1"/>
  <c r="L234" i="1"/>
  <c r="P233" i="1"/>
  <c r="O233" i="1" s="1"/>
  <c r="L233" i="1"/>
  <c r="P232" i="1"/>
  <c r="O232" i="1" s="1"/>
  <c r="L232" i="1"/>
  <c r="P231" i="1"/>
  <c r="O231" i="1" s="1"/>
  <c r="L231" i="1"/>
  <c r="P230" i="1"/>
  <c r="O230" i="1" s="1"/>
  <c r="L230" i="1"/>
  <c r="P229" i="1"/>
  <c r="O229" i="1" s="1"/>
  <c r="L229" i="1"/>
  <c r="P228" i="1"/>
  <c r="O228" i="1" s="1"/>
  <c r="L228" i="1"/>
  <c r="P227" i="1"/>
  <c r="O227" i="1" s="1"/>
  <c r="L227" i="1"/>
  <c r="P226" i="1"/>
  <c r="O226" i="1" s="1"/>
  <c r="L226" i="1"/>
  <c r="P225" i="1"/>
  <c r="O225" i="1" s="1"/>
  <c r="L225" i="1"/>
  <c r="P224" i="1"/>
  <c r="O224" i="1" s="1"/>
  <c r="L224" i="1"/>
  <c r="P223" i="1"/>
  <c r="O223" i="1" s="1"/>
  <c r="L223" i="1"/>
  <c r="P222" i="1"/>
  <c r="O222" i="1" s="1"/>
  <c r="L222" i="1"/>
  <c r="P221" i="1"/>
  <c r="O221" i="1" s="1"/>
  <c r="L221" i="1"/>
  <c r="P220" i="1"/>
  <c r="O220" i="1" s="1"/>
  <c r="L220" i="1"/>
  <c r="P219" i="1"/>
  <c r="O219" i="1" s="1"/>
  <c r="L219" i="1"/>
  <c r="P218" i="1"/>
  <c r="O218" i="1" s="1"/>
  <c r="L218" i="1"/>
  <c r="P217" i="1"/>
  <c r="O217" i="1" s="1"/>
  <c r="L217" i="1"/>
  <c r="P216" i="1"/>
  <c r="O216" i="1" s="1"/>
  <c r="L216" i="1"/>
  <c r="P215" i="1"/>
  <c r="O215" i="1" s="1"/>
  <c r="L215" i="1"/>
  <c r="P214" i="1"/>
  <c r="O214" i="1" s="1"/>
  <c r="L214" i="1"/>
  <c r="P213" i="1"/>
  <c r="O213" i="1" s="1"/>
  <c r="L213" i="1"/>
  <c r="P212" i="1"/>
  <c r="O212" i="1" s="1"/>
  <c r="L212" i="1"/>
  <c r="P211" i="1"/>
  <c r="O211" i="1" s="1"/>
  <c r="L211" i="1"/>
  <c r="P210" i="1"/>
  <c r="O210" i="1" s="1"/>
  <c r="L210" i="1"/>
  <c r="P209" i="1"/>
  <c r="O209" i="1" s="1"/>
  <c r="L209" i="1"/>
  <c r="P208" i="1"/>
  <c r="O208" i="1" s="1"/>
  <c r="L208" i="1"/>
  <c r="P207" i="1"/>
  <c r="O207" i="1" s="1"/>
  <c r="L207" i="1"/>
  <c r="P206" i="1"/>
  <c r="O206" i="1" s="1"/>
  <c r="L206" i="1"/>
  <c r="P205" i="1"/>
  <c r="O205" i="1" s="1"/>
  <c r="L205" i="1"/>
  <c r="P204" i="1"/>
  <c r="O204" i="1" s="1"/>
  <c r="L204" i="1"/>
  <c r="P203" i="1"/>
  <c r="O203" i="1" s="1"/>
  <c r="L203" i="1"/>
  <c r="P202" i="1"/>
  <c r="O202" i="1" s="1"/>
  <c r="L202" i="1"/>
  <c r="P201" i="1"/>
  <c r="O201" i="1" s="1"/>
  <c r="L201" i="1"/>
  <c r="P200" i="1"/>
  <c r="O200" i="1" s="1"/>
  <c r="L200" i="1"/>
  <c r="P199" i="1"/>
  <c r="O199" i="1" s="1"/>
  <c r="L199" i="1"/>
  <c r="P198" i="1"/>
  <c r="O198" i="1" s="1"/>
  <c r="L198" i="1"/>
  <c r="P197" i="1"/>
  <c r="O197" i="1" s="1"/>
  <c r="L197" i="1"/>
  <c r="P196" i="1"/>
  <c r="O196" i="1" s="1"/>
  <c r="L196" i="1"/>
  <c r="P195" i="1"/>
  <c r="O195" i="1" s="1"/>
  <c r="L195" i="1"/>
  <c r="P194" i="1"/>
  <c r="O194" i="1" s="1"/>
  <c r="P193" i="1"/>
  <c r="O193" i="1" s="1"/>
  <c r="L193" i="1"/>
  <c r="P192" i="1"/>
  <c r="O192" i="1" s="1"/>
  <c r="L192" i="1"/>
  <c r="P191" i="1"/>
  <c r="O191" i="1" s="1"/>
  <c r="L191" i="1"/>
  <c r="P190" i="1"/>
  <c r="O190" i="1" s="1"/>
  <c r="L190" i="1"/>
  <c r="P189" i="1"/>
  <c r="O189" i="1" s="1"/>
  <c r="L189" i="1"/>
  <c r="P188" i="1"/>
  <c r="O188" i="1" s="1"/>
  <c r="L188" i="1"/>
  <c r="P187" i="1"/>
  <c r="O187" i="1" s="1"/>
  <c r="L187" i="1"/>
  <c r="P186" i="1"/>
  <c r="O186" i="1" s="1"/>
  <c r="L186" i="1"/>
  <c r="P185" i="1"/>
  <c r="O185" i="1" s="1"/>
  <c r="L185" i="1"/>
  <c r="P184" i="1"/>
  <c r="O184" i="1" s="1"/>
  <c r="L184" i="1"/>
  <c r="P183" i="1"/>
  <c r="O183" i="1" s="1"/>
  <c r="L183" i="1"/>
  <c r="P182" i="1"/>
  <c r="O182" i="1" s="1"/>
  <c r="L182" i="1"/>
  <c r="P181" i="1"/>
  <c r="O181" i="1" s="1"/>
  <c r="L181" i="1"/>
  <c r="P180" i="1"/>
  <c r="O180" i="1" s="1"/>
  <c r="L180" i="1"/>
  <c r="P179" i="1"/>
  <c r="O179" i="1" s="1"/>
  <c r="L179" i="1"/>
  <c r="P178" i="1"/>
  <c r="O178" i="1" s="1"/>
  <c r="L178" i="1"/>
  <c r="P177" i="1"/>
  <c r="O177" i="1" s="1"/>
  <c r="L177" i="1"/>
  <c r="P176" i="1"/>
  <c r="O176" i="1" s="1"/>
  <c r="L176" i="1"/>
  <c r="P175" i="1"/>
  <c r="O175" i="1" s="1"/>
  <c r="L175" i="1"/>
  <c r="P174" i="1"/>
  <c r="O174" i="1" s="1"/>
  <c r="L174" i="1"/>
  <c r="P173" i="1"/>
  <c r="O173" i="1" s="1"/>
  <c r="L173" i="1"/>
  <c r="P172" i="1"/>
  <c r="O172" i="1" s="1"/>
  <c r="L172" i="1"/>
  <c r="P171" i="1"/>
  <c r="O171" i="1" s="1"/>
  <c r="L171" i="1"/>
  <c r="P170" i="1"/>
  <c r="O170" i="1" s="1"/>
  <c r="L170" i="1"/>
  <c r="P169" i="1"/>
  <c r="O169" i="1" s="1"/>
  <c r="L169" i="1"/>
  <c r="P168" i="1"/>
  <c r="O168" i="1" s="1"/>
  <c r="L168" i="1"/>
  <c r="P167" i="1"/>
  <c r="O167" i="1" s="1"/>
  <c r="L167" i="1"/>
  <c r="P166" i="1"/>
  <c r="O166" i="1" s="1"/>
  <c r="L166" i="1"/>
  <c r="P165" i="1"/>
  <c r="O165" i="1" s="1"/>
  <c r="L165" i="1"/>
  <c r="P164" i="1"/>
  <c r="O164" i="1" s="1"/>
  <c r="L164" i="1"/>
  <c r="P163" i="1"/>
  <c r="O163" i="1" s="1"/>
  <c r="L163" i="1"/>
  <c r="P162" i="1"/>
  <c r="O162" i="1" s="1"/>
  <c r="L162" i="1"/>
  <c r="P161" i="1"/>
  <c r="O161" i="1" s="1"/>
  <c r="L161" i="1"/>
  <c r="P160" i="1"/>
  <c r="O160" i="1" s="1"/>
  <c r="L160" i="1"/>
  <c r="P159" i="1"/>
  <c r="O159" i="1" s="1"/>
  <c r="L159" i="1"/>
  <c r="P158" i="1"/>
  <c r="O158" i="1" s="1"/>
  <c r="L158" i="1"/>
  <c r="P157" i="1"/>
  <c r="O157" i="1" s="1"/>
  <c r="L157" i="1"/>
  <c r="P156" i="1"/>
  <c r="O156" i="1" s="1"/>
  <c r="L156" i="1"/>
  <c r="P155" i="1"/>
  <c r="O155" i="1" s="1"/>
  <c r="L155" i="1"/>
  <c r="P154" i="1"/>
  <c r="O154" i="1" s="1"/>
  <c r="L154" i="1"/>
  <c r="P153" i="1"/>
  <c r="O153" i="1" s="1"/>
  <c r="L153" i="1"/>
  <c r="P152" i="1"/>
  <c r="O152" i="1" s="1"/>
  <c r="L152" i="1"/>
  <c r="P151" i="1"/>
  <c r="O151" i="1" s="1"/>
  <c r="L151" i="1"/>
  <c r="P150" i="1"/>
  <c r="O150" i="1" s="1"/>
  <c r="L150" i="1"/>
  <c r="P149" i="1"/>
  <c r="O149" i="1" s="1"/>
  <c r="L149" i="1"/>
  <c r="P148" i="1"/>
  <c r="O148" i="1" s="1"/>
  <c r="L148" i="1"/>
  <c r="P147" i="1"/>
  <c r="O147" i="1" s="1"/>
  <c r="L147" i="1"/>
  <c r="P146" i="1"/>
  <c r="O146" i="1" s="1"/>
  <c r="L146" i="1"/>
  <c r="P145" i="1"/>
  <c r="O145" i="1" s="1"/>
  <c r="L145" i="1"/>
  <c r="P144" i="1"/>
  <c r="O144" i="1" s="1"/>
  <c r="L144" i="1"/>
  <c r="P143" i="1"/>
  <c r="O143" i="1" s="1"/>
  <c r="L143" i="1"/>
  <c r="P142" i="1"/>
  <c r="O142" i="1" s="1"/>
  <c r="L142" i="1"/>
  <c r="P141" i="1"/>
  <c r="O141" i="1" s="1"/>
  <c r="L141" i="1"/>
  <c r="P139" i="1"/>
  <c r="O139" i="1" s="1"/>
  <c r="L139" i="1"/>
  <c r="P138" i="1"/>
  <c r="O138" i="1" s="1"/>
  <c r="L138" i="1"/>
  <c r="P137" i="1"/>
  <c r="O137" i="1" s="1"/>
  <c r="L137" i="1"/>
  <c r="P136" i="1"/>
  <c r="O136" i="1" s="1"/>
  <c r="L136" i="1"/>
  <c r="P135" i="1"/>
  <c r="O135" i="1" s="1"/>
  <c r="L135" i="1"/>
  <c r="P134" i="1"/>
  <c r="O134" i="1" s="1"/>
  <c r="L134" i="1"/>
  <c r="P133" i="1"/>
  <c r="O133" i="1" s="1"/>
  <c r="L133" i="1"/>
  <c r="P132" i="1"/>
  <c r="O132" i="1" s="1"/>
  <c r="L132" i="1"/>
  <c r="P131" i="1"/>
  <c r="O131" i="1" s="1"/>
  <c r="L131" i="1"/>
  <c r="P130" i="1"/>
  <c r="O130" i="1" s="1"/>
  <c r="L130" i="1"/>
  <c r="P129" i="1"/>
  <c r="O129" i="1" s="1"/>
  <c r="L129" i="1"/>
  <c r="P128" i="1"/>
  <c r="O128" i="1" s="1"/>
  <c r="L128" i="1"/>
  <c r="P127" i="1"/>
  <c r="O127" i="1" s="1"/>
  <c r="L127" i="1"/>
  <c r="P126" i="1"/>
  <c r="O126" i="1" s="1"/>
  <c r="L126" i="1"/>
  <c r="P125" i="1"/>
  <c r="O125" i="1" s="1"/>
  <c r="L125" i="1"/>
  <c r="P124" i="1"/>
  <c r="O124" i="1" s="1"/>
  <c r="L124" i="1"/>
  <c r="P123" i="1"/>
  <c r="O123" i="1" s="1"/>
  <c r="L123" i="1"/>
  <c r="P122" i="1"/>
  <c r="O122" i="1" s="1"/>
  <c r="L122" i="1"/>
  <c r="P121" i="1"/>
  <c r="O121" i="1" s="1"/>
  <c r="L121" i="1"/>
  <c r="P120" i="1"/>
  <c r="O120" i="1" s="1"/>
  <c r="L120" i="1"/>
  <c r="P119" i="1"/>
  <c r="O119" i="1" s="1"/>
  <c r="L119" i="1"/>
  <c r="P118" i="1"/>
  <c r="O118" i="1" s="1"/>
  <c r="L118" i="1"/>
  <c r="P117" i="1"/>
  <c r="O117" i="1" s="1"/>
  <c r="L117" i="1"/>
  <c r="P116" i="1"/>
  <c r="O116" i="1" s="1"/>
  <c r="L116" i="1"/>
  <c r="P115" i="1"/>
  <c r="O115" i="1" s="1"/>
  <c r="L115" i="1"/>
  <c r="P114" i="1"/>
  <c r="O114" i="1" s="1"/>
  <c r="L114" i="1"/>
  <c r="P113" i="1"/>
  <c r="O113" i="1" s="1"/>
  <c r="L113" i="1"/>
  <c r="P112" i="1"/>
  <c r="O112" i="1" s="1"/>
  <c r="L112" i="1"/>
  <c r="P111" i="1"/>
  <c r="O111" i="1" s="1"/>
  <c r="L111" i="1"/>
  <c r="P110" i="1"/>
  <c r="O110" i="1" s="1"/>
  <c r="L110" i="1"/>
  <c r="P109" i="1"/>
  <c r="O109" i="1" s="1"/>
  <c r="L109" i="1"/>
  <c r="P108" i="1"/>
  <c r="O108" i="1" s="1"/>
  <c r="L108" i="1"/>
  <c r="P107" i="1"/>
  <c r="O107" i="1" s="1"/>
  <c r="L107" i="1"/>
  <c r="P106" i="1"/>
  <c r="O106" i="1" s="1"/>
  <c r="L106" i="1"/>
  <c r="P105" i="1"/>
  <c r="O105" i="1" s="1"/>
  <c r="L105" i="1"/>
  <c r="P104" i="1"/>
  <c r="O104" i="1" s="1"/>
  <c r="L104" i="1"/>
  <c r="P103" i="1"/>
  <c r="O103" i="1" s="1"/>
  <c r="L103" i="1"/>
  <c r="P95" i="1"/>
  <c r="O95" i="1" s="1"/>
  <c r="L95" i="1"/>
  <c r="P84" i="1"/>
  <c r="O84" i="1" s="1"/>
  <c r="L84" i="1"/>
  <c r="P83" i="1"/>
  <c r="O83" i="1" s="1"/>
  <c r="L83" i="1"/>
  <c r="P60" i="1"/>
  <c r="O60" i="1" s="1"/>
  <c r="L60" i="1"/>
  <c r="P53" i="1"/>
  <c r="O53" i="1" s="1"/>
  <c r="L53" i="1"/>
  <c r="P52" i="1"/>
  <c r="O52" i="1" s="1"/>
  <c r="L52" i="1"/>
  <c r="P59" i="1"/>
  <c r="O59" i="1" s="1"/>
  <c r="L59" i="1"/>
  <c r="P51" i="1"/>
  <c r="O51" i="1" s="1"/>
  <c r="L51" i="1"/>
  <c r="P38" i="1"/>
  <c r="O38" i="1" s="1"/>
  <c r="L38" i="1"/>
  <c r="P26" i="1"/>
  <c r="O26" i="1" s="1"/>
  <c r="L26" i="1"/>
  <c r="P19" i="1"/>
  <c r="O19" i="1" s="1"/>
  <c r="L19" i="1"/>
  <c r="P6" i="1"/>
  <c r="O6" i="1" s="1"/>
  <c r="L6" i="1"/>
  <c r="P5" i="1"/>
  <c r="O5" i="1" s="1"/>
  <c r="L5" i="1"/>
  <c r="P89" i="1"/>
  <c r="O89" i="1" s="1"/>
  <c r="L89" i="1"/>
  <c r="P4" i="1"/>
  <c r="O4" i="1" s="1"/>
  <c r="L4" i="1"/>
  <c r="P87" i="1"/>
  <c r="O87" i="1" s="1"/>
  <c r="L87" i="1"/>
  <c r="P3" i="1"/>
  <c r="O3" i="1" s="1"/>
  <c r="L3" i="1"/>
  <c r="P2" i="1"/>
  <c r="O2" i="1" s="1"/>
  <c r="L2" i="1"/>
  <c r="P102" i="1"/>
  <c r="O102" i="1" s="1"/>
  <c r="L102" i="1"/>
  <c r="P100" i="1"/>
  <c r="O100" i="1" s="1"/>
  <c r="L100" i="1"/>
  <c r="P99" i="1"/>
  <c r="O99" i="1" s="1"/>
  <c r="L99" i="1"/>
  <c r="P98" i="1"/>
  <c r="O98" i="1" s="1"/>
  <c r="L98" i="1"/>
  <c r="P97" i="1"/>
  <c r="O97" i="1" s="1"/>
  <c r="L97" i="1"/>
  <c r="P96" i="1"/>
  <c r="O96" i="1" s="1"/>
  <c r="L96" i="1"/>
  <c r="P20" i="1"/>
  <c r="O20" i="1" s="1"/>
  <c r="L20" i="1"/>
  <c r="P18" i="1"/>
  <c r="O18" i="1" s="1"/>
  <c r="L18" i="1"/>
  <c r="P17" i="1"/>
  <c r="O17" i="1" s="1"/>
  <c r="L17" i="1"/>
  <c r="P16" i="1"/>
  <c r="O16" i="1" s="1"/>
  <c r="L16" i="1"/>
  <c r="P15" i="1"/>
  <c r="O15" i="1" s="1"/>
  <c r="L15" i="1"/>
  <c r="P14" i="1"/>
  <c r="O14" i="1" s="1"/>
  <c r="L14" i="1"/>
  <c r="P13" i="1"/>
  <c r="O13" i="1" s="1"/>
  <c r="L13" i="1"/>
  <c r="P12" i="1"/>
  <c r="O12" i="1" s="1"/>
  <c r="L12" i="1"/>
  <c r="P94" i="1"/>
  <c r="O94" i="1" s="1"/>
  <c r="L94" i="1"/>
  <c r="P82" i="1"/>
  <c r="O82" i="1" s="1"/>
  <c r="L82" i="1"/>
  <c r="P80" i="1"/>
  <c r="O80" i="1" s="1"/>
  <c r="L80" i="1"/>
  <c r="P79" i="1"/>
  <c r="O79" i="1" s="1"/>
  <c r="L79" i="1"/>
  <c r="P58" i="1"/>
  <c r="O58" i="1" s="1"/>
  <c r="L58" i="1"/>
  <c r="P57" i="1"/>
  <c r="O57" i="1" s="1"/>
  <c r="L57" i="1"/>
  <c r="P56" i="1"/>
  <c r="O56" i="1" s="1"/>
  <c r="L56" i="1"/>
  <c r="P55" i="1"/>
  <c r="O55" i="1" s="1"/>
  <c r="L55" i="1"/>
  <c r="P54" i="1"/>
  <c r="O54" i="1" s="1"/>
  <c r="L54" i="1"/>
  <c r="P77" i="1"/>
  <c r="O77" i="1" s="1"/>
  <c r="L77" i="1"/>
  <c r="P76" i="1"/>
  <c r="O76" i="1" s="1"/>
  <c r="L76" i="1"/>
  <c r="P75" i="1"/>
  <c r="O75" i="1" s="1"/>
  <c r="L75" i="1"/>
  <c r="P74" i="1"/>
  <c r="O74" i="1" s="1"/>
  <c r="L74" i="1"/>
  <c r="P73" i="1"/>
  <c r="O73" i="1" s="1"/>
  <c r="L73" i="1"/>
  <c r="P93" i="1"/>
  <c r="O93" i="1" s="1"/>
  <c r="L93" i="1"/>
  <c r="P92" i="1"/>
  <c r="O92" i="1" s="1"/>
  <c r="L92" i="1"/>
  <c r="P91" i="1"/>
  <c r="O91" i="1" s="1"/>
  <c r="L91" i="1"/>
  <c r="P90" i="1"/>
  <c r="O90" i="1" s="1"/>
  <c r="L90" i="1"/>
  <c r="P88" i="1"/>
  <c r="O88" i="1" s="1"/>
  <c r="L88" i="1"/>
  <c r="P86" i="1"/>
  <c r="O86" i="1" s="1"/>
  <c r="L86" i="1"/>
  <c r="P78" i="1"/>
  <c r="O78" i="1" s="1"/>
  <c r="L78" i="1"/>
  <c r="P37" i="1"/>
  <c r="O37" i="1" s="1"/>
  <c r="L37" i="1"/>
  <c r="P36" i="1"/>
  <c r="O36" i="1" s="1"/>
  <c r="L36" i="1"/>
  <c r="P35" i="1"/>
  <c r="O35" i="1" s="1"/>
  <c r="L35" i="1"/>
  <c r="P34" i="1"/>
  <c r="O34" i="1" s="1"/>
  <c r="L34" i="1"/>
  <c r="P81" i="1"/>
  <c r="O81" i="1" s="1"/>
  <c r="L81" i="1"/>
  <c r="P62" i="1"/>
  <c r="O62" i="1" s="1"/>
  <c r="L62" i="1"/>
  <c r="P50" i="1"/>
  <c r="O50" i="1" s="1"/>
  <c r="L50" i="1"/>
  <c r="P49" i="1"/>
  <c r="O49" i="1" s="1"/>
  <c r="L49" i="1"/>
  <c r="P48" i="1"/>
  <c r="O48" i="1" s="1"/>
  <c r="L48" i="1"/>
  <c r="P47" i="1"/>
  <c r="O47" i="1" s="1"/>
  <c r="L47" i="1"/>
  <c r="P46" i="1"/>
  <c r="O46" i="1" s="1"/>
  <c r="L46" i="1"/>
  <c r="P31" i="1"/>
  <c r="O31" i="1" s="1"/>
  <c r="L31" i="1"/>
  <c r="P30" i="1"/>
  <c r="O30" i="1" s="1"/>
  <c r="L30" i="1"/>
  <c r="P29" i="1"/>
  <c r="O29" i="1" s="1"/>
  <c r="L29" i="1"/>
  <c r="P28" i="1"/>
  <c r="O28" i="1" s="1"/>
  <c r="L28" i="1"/>
  <c r="P27" i="1"/>
  <c r="O27" i="1" s="1"/>
  <c r="L27" i="1"/>
  <c r="P85" i="1"/>
  <c r="O85" i="1" s="1"/>
  <c r="L85" i="1"/>
  <c r="P72" i="1"/>
  <c r="O72" i="1" s="1"/>
  <c r="L72" i="1"/>
  <c r="P71" i="1"/>
  <c r="O71" i="1" s="1"/>
  <c r="L71" i="1"/>
  <c r="P70" i="1"/>
  <c r="O70" i="1" s="1"/>
  <c r="L70" i="1"/>
  <c r="P69" i="1"/>
  <c r="O69" i="1" s="1"/>
  <c r="L69" i="1"/>
  <c r="P68" i="1"/>
  <c r="O68" i="1" s="1"/>
  <c r="L68" i="1"/>
  <c r="P45" i="1"/>
  <c r="O45" i="1" s="1"/>
  <c r="L45" i="1"/>
  <c r="P44" i="1"/>
  <c r="O44" i="1" s="1"/>
  <c r="L44" i="1"/>
  <c r="P43" i="1"/>
  <c r="O43" i="1" s="1"/>
  <c r="L43" i="1"/>
  <c r="P42" i="1"/>
  <c r="O42" i="1" s="1"/>
  <c r="L42" i="1"/>
  <c r="P41" i="1"/>
  <c r="O41" i="1" s="1"/>
  <c r="L41" i="1"/>
  <c r="P40" i="1"/>
  <c r="O40" i="1" s="1"/>
  <c r="L40" i="1"/>
  <c r="P39" i="1"/>
  <c r="O39" i="1" s="1"/>
  <c r="L39" i="1"/>
  <c r="P101" i="1"/>
  <c r="O101" i="1" s="1"/>
  <c r="L101" i="1"/>
  <c r="P61" i="1"/>
  <c r="O61" i="1" s="1"/>
  <c r="L61" i="1"/>
  <c r="P33" i="1"/>
  <c r="O33" i="1" s="1"/>
  <c r="L33" i="1"/>
  <c r="P32" i="1"/>
  <c r="O32" i="1" s="1"/>
  <c r="L32" i="1"/>
  <c r="P25" i="1"/>
  <c r="O25" i="1" s="1"/>
  <c r="L25" i="1"/>
  <c r="P24" i="1"/>
  <c r="O24" i="1" s="1"/>
  <c r="L24" i="1"/>
  <c r="P23" i="1"/>
  <c r="O23" i="1" s="1"/>
  <c r="L23" i="1"/>
  <c r="P22" i="1"/>
  <c r="O22" i="1" s="1"/>
  <c r="L22" i="1"/>
  <c r="P21" i="1"/>
  <c r="O21" i="1" s="1"/>
  <c r="L21" i="1"/>
  <c r="P67" i="1"/>
  <c r="O67" i="1" s="1"/>
  <c r="L67" i="1"/>
  <c r="P66" i="1"/>
  <c r="O66" i="1" s="1"/>
  <c r="L66" i="1"/>
  <c r="P65" i="1"/>
  <c r="O65" i="1" s="1"/>
  <c r="L65" i="1"/>
  <c r="P8" i="1"/>
  <c r="O8" i="1" s="1"/>
  <c r="L8" i="1"/>
  <c r="P64" i="1"/>
  <c r="O64" i="1" s="1"/>
  <c r="L64" i="1"/>
  <c r="P63" i="1"/>
  <c r="O63" i="1" s="1"/>
  <c r="L63" i="1"/>
  <c r="P11" i="1"/>
  <c r="O11" i="1" s="1"/>
  <c r="L11" i="1"/>
  <c r="P10" i="1"/>
  <c r="O10" i="1" s="1"/>
  <c r="L10" i="1"/>
  <c r="P9" i="1"/>
  <c r="O9" i="1" s="1"/>
  <c r="L9" i="1"/>
  <c r="P7" i="1"/>
  <c r="O7" i="1" s="1"/>
  <c r="L7" i="1"/>
  <c r="M659" i="1" l="1"/>
  <c r="M675" i="1"/>
  <c r="M691" i="1"/>
  <c r="M707" i="1"/>
  <c r="M723" i="1"/>
  <c r="M739" i="1"/>
  <c r="M755" i="1"/>
  <c r="M771" i="1"/>
  <c r="M787" i="1"/>
  <c r="M678" i="1"/>
  <c r="M710" i="1"/>
  <c r="M750" i="1"/>
  <c r="M758" i="1"/>
  <c r="M774" i="1"/>
  <c r="M632" i="1"/>
  <c r="M648" i="1"/>
  <c r="M664" i="1"/>
  <c r="M680" i="1"/>
  <c r="M696" i="1"/>
  <c r="M712" i="1"/>
  <c r="M728" i="1"/>
  <c r="M744" i="1"/>
  <c r="M760" i="1"/>
  <c r="M776" i="1"/>
  <c r="M792" i="1"/>
  <c r="M686" i="1"/>
  <c r="M702" i="1"/>
  <c r="M718" i="1"/>
  <c r="M734" i="1"/>
  <c r="M766" i="1"/>
  <c r="M782" i="1"/>
  <c r="M63" i="1"/>
  <c r="M41" i="1"/>
  <c r="M92" i="1"/>
  <c r="M12" i="1"/>
  <c r="M300" i="1"/>
  <c r="M284" i="1"/>
  <c r="M783" i="1"/>
  <c r="M10" i="1"/>
  <c r="M39" i="1"/>
  <c r="M30" i="1"/>
  <c r="M90" i="1"/>
  <c r="M82" i="1"/>
  <c r="M2" i="1"/>
  <c r="M95" i="1"/>
  <c r="M298" i="1"/>
  <c r="M282" i="1"/>
  <c r="M317" i="1"/>
  <c r="M333" i="1"/>
  <c r="M349" i="1"/>
  <c r="M365" i="1"/>
  <c r="M381" i="1"/>
  <c r="M397" i="1"/>
  <c r="M413" i="1"/>
  <c r="M429" i="1"/>
  <c r="M445" i="1"/>
  <c r="M461" i="1"/>
  <c r="M477" i="1"/>
  <c r="M493" i="1"/>
  <c r="M509" i="1"/>
  <c r="M525" i="1"/>
  <c r="M541" i="1"/>
  <c r="M557" i="1"/>
  <c r="M573" i="1"/>
  <c r="M589" i="1"/>
  <c r="M605" i="1"/>
  <c r="M621" i="1"/>
  <c r="M637" i="1"/>
  <c r="M653" i="1"/>
  <c r="M669" i="1"/>
  <c r="M685" i="1"/>
  <c r="M701" i="1"/>
  <c r="M717" i="1"/>
  <c r="M733" i="1"/>
  <c r="M749" i="1"/>
  <c r="M765" i="1"/>
  <c r="M781" i="1"/>
  <c r="M797" i="1"/>
  <c r="M11" i="1"/>
  <c r="M31" i="1"/>
  <c r="M91" i="1"/>
  <c r="M94" i="1"/>
  <c r="M299" i="1"/>
  <c r="M283" i="1"/>
  <c r="M64" i="1"/>
  <c r="M42" i="1"/>
  <c r="M47" i="1"/>
  <c r="M93" i="1"/>
  <c r="M13" i="1"/>
  <c r="M4" i="1"/>
  <c r="M105" i="1"/>
  <c r="M301" i="1"/>
  <c r="M285" i="1"/>
  <c r="M320" i="1"/>
  <c r="M336" i="1"/>
  <c r="M352" i="1"/>
  <c r="M368" i="1"/>
  <c r="M384" i="1"/>
  <c r="M400" i="1"/>
  <c r="M416" i="1"/>
  <c r="M432" i="1"/>
  <c r="M448" i="1"/>
  <c r="M464" i="1"/>
  <c r="M480" i="1"/>
  <c r="M496" i="1"/>
  <c r="M512" i="1"/>
  <c r="M528" i="1"/>
  <c r="M544" i="1"/>
  <c r="M560" i="1"/>
  <c r="M576" i="1"/>
  <c r="M592" i="1"/>
  <c r="M608" i="1"/>
  <c r="M624" i="1"/>
  <c r="M640" i="1"/>
  <c r="M656" i="1"/>
  <c r="M672" i="1"/>
  <c r="M688" i="1"/>
  <c r="M704" i="1"/>
  <c r="M720" i="1"/>
  <c r="M736" i="1"/>
  <c r="M752" i="1"/>
  <c r="M768" i="1"/>
  <c r="M784" i="1"/>
  <c r="M65" i="1"/>
  <c r="M43" i="1"/>
  <c r="M48" i="1"/>
  <c r="M73" i="1"/>
  <c r="M14" i="1"/>
  <c r="M5" i="1"/>
  <c r="M106" i="1"/>
  <c r="M302" i="1"/>
  <c r="M274" i="1"/>
  <c r="M321" i="1"/>
  <c r="M337" i="1"/>
  <c r="M353" i="1"/>
  <c r="M369" i="1"/>
  <c r="M385" i="1"/>
  <c r="M401" i="1"/>
  <c r="M417" i="1"/>
  <c r="M433" i="1"/>
  <c r="M449" i="1"/>
  <c r="M465" i="1"/>
  <c r="M481" i="1"/>
  <c r="M497" i="1"/>
  <c r="M513" i="1"/>
  <c r="M529" i="1"/>
  <c r="M545" i="1"/>
  <c r="M561" i="1"/>
  <c r="M577" i="1"/>
  <c r="M593" i="1"/>
  <c r="M609" i="1"/>
  <c r="M625" i="1"/>
  <c r="M641" i="1"/>
  <c r="M657" i="1"/>
  <c r="M673" i="1"/>
  <c r="M689" i="1"/>
  <c r="M705" i="1"/>
  <c r="M721" i="1"/>
  <c r="M737" i="1"/>
  <c r="M753" i="1"/>
  <c r="M769" i="1"/>
  <c r="M785" i="1"/>
  <c r="M694" i="1"/>
  <c r="M66" i="1"/>
  <c r="M44" i="1"/>
  <c r="M49" i="1"/>
  <c r="M74" i="1"/>
  <c r="M15" i="1"/>
  <c r="M6" i="1"/>
  <c r="M309" i="1"/>
  <c r="M286" i="1"/>
  <c r="M275" i="1"/>
  <c r="M322" i="1"/>
  <c r="M338" i="1"/>
  <c r="M354" i="1"/>
  <c r="M370" i="1"/>
  <c r="M386" i="1"/>
  <c r="M402" i="1"/>
  <c r="M418" i="1"/>
  <c r="M434" i="1"/>
  <c r="M450" i="1"/>
  <c r="M466" i="1"/>
  <c r="M482" i="1"/>
  <c r="M498" i="1"/>
  <c r="M514" i="1"/>
  <c r="M530" i="1"/>
  <c r="M546" i="1"/>
  <c r="M562" i="1"/>
  <c r="M578" i="1"/>
  <c r="M594" i="1"/>
  <c r="M610" i="1"/>
  <c r="M626" i="1"/>
  <c r="M642" i="1"/>
  <c r="M658" i="1"/>
  <c r="M674" i="1"/>
  <c r="M690" i="1"/>
  <c r="M706" i="1"/>
  <c r="M722" i="1"/>
  <c r="M738" i="1"/>
  <c r="M754" i="1"/>
  <c r="M770" i="1"/>
  <c r="M786" i="1"/>
  <c r="M67" i="1"/>
  <c r="M45" i="1"/>
  <c r="M50" i="1"/>
  <c r="M75" i="1"/>
  <c r="M16" i="1"/>
  <c r="M19" i="1"/>
  <c r="M310" i="1"/>
  <c r="M287" i="1"/>
  <c r="M276" i="1"/>
  <c r="M323" i="1"/>
  <c r="M339" i="1"/>
  <c r="M355" i="1"/>
  <c r="M371" i="1"/>
  <c r="M387" i="1"/>
  <c r="M403" i="1"/>
  <c r="M419" i="1"/>
  <c r="M435" i="1"/>
  <c r="M451" i="1"/>
  <c r="M467" i="1"/>
  <c r="M483" i="1"/>
  <c r="M499" i="1"/>
  <c r="M515" i="1"/>
  <c r="M531" i="1"/>
  <c r="M547" i="1"/>
  <c r="M563" i="1"/>
  <c r="M579" i="1"/>
  <c r="M595" i="1"/>
  <c r="M611" i="1"/>
  <c r="M627" i="1"/>
  <c r="M643" i="1"/>
  <c r="M21" i="1"/>
  <c r="M68" i="1"/>
  <c r="M62" i="1"/>
  <c r="M76" i="1"/>
  <c r="M17" i="1"/>
  <c r="M26" i="1"/>
  <c r="M303" i="1"/>
  <c r="M288" i="1"/>
  <c r="M277" i="1"/>
  <c r="M324" i="1"/>
  <c r="M340" i="1"/>
  <c r="M356" i="1"/>
  <c r="M372" i="1"/>
  <c r="M388" i="1"/>
  <c r="M404" i="1"/>
  <c r="M420" i="1"/>
  <c r="M436" i="1"/>
  <c r="M452" i="1"/>
  <c r="M468" i="1"/>
  <c r="M484" i="1"/>
  <c r="M500" i="1"/>
  <c r="M516" i="1"/>
  <c r="M532" i="1"/>
  <c r="M548" i="1"/>
  <c r="M564" i="1"/>
  <c r="M580" i="1"/>
  <c r="M596" i="1"/>
  <c r="M612" i="1"/>
  <c r="M628" i="1"/>
  <c r="M644" i="1"/>
  <c r="M660" i="1"/>
  <c r="M676" i="1"/>
  <c r="M692" i="1"/>
  <c r="M708" i="1"/>
  <c r="M724" i="1"/>
  <c r="M740" i="1"/>
  <c r="M756" i="1"/>
  <c r="M772" i="1"/>
  <c r="M788" i="1"/>
  <c r="M18" i="1"/>
  <c r="M325" i="1"/>
  <c r="M341" i="1"/>
  <c r="M357" i="1"/>
  <c r="M373" i="1"/>
  <c r="M389" i="1"/>
  <c r="M405" i="1"/>
  <c r="M421" i="1"/>
  <c r="M437" i="1"/>
  <c r="M453" i="1"/>
  <c r="M469" i="1"/>
  <c r="M485" i="1"/>
  <c r="M501" i="1"/>
  <c r="M517" i="1"/>
  <c r="M533" i="1"/>
  <c r="M549" i="1"/>
  <c r="M565" i="1"/>
  <c r="M581" i="1"/>
  <c r="M597" i="1"/>
  <c r="M613" i="1"/>
  <c r="M629" i="1"/>
  <c r="M645" i="1"/>
  <c r="M661" i="1"/>
  <c r="M677" i="1"/>
  <c r="M693" i="1"/>
  <c r="M709" i="1"/>
  <c r="M725" i="1"/>
  <c r="M741" i="1"/>
  <c r="M757" i="1"/>
  <c r="M773" i="1"/>
  <c r="M789" i="1"/>
  <c r="M726" i="1"/>
  <c r="M790" i="1"/>
  <c r="M59" i="1"/>
  <c r="M291" i="1"/>
  <c r="M791" i="1"/>
  <c r="M742" i="1"/>
  <c r="M25" i="1"/>
  <c r="M97" i="1"/>
  <c r="M307" i="1"/>
  <c r="M292" i="1"/>
  <c r="M312" i="1"/>
  <c r="M328" i="1"/>
  <c r="M344" i="1"/>
  <c r="M360" i="1"/>
  <c r="M376" i="1"/>
  <c r="M392" i="1"/>
  <c r="M408" i="1"/>
  <c r="M424" i="1"/>
  <c r="M440" i="1"/>
  <c r="M456" i="1"/>
  <c r="M472" i="1"/>
  <c r="M488" i="1"/>
  <c r="M504" i="1"/>
  <c r="M520" i="1"/>
  <c r="M536" i="1"/>
  <c r="M552" i="1"/>
  <c r="M568" i="1"/>
  <c r="M584" i="1"/>
  <c r="M600" i="1"/>
  <c r="M616" i="1"/>
  <c r="M32" i="1"/>
  <c r="M85" i="1"/>
  <c r="M37" i="1"/>
  <c r="M57" i="1"/>
  <c r="M98" i="1"/>
  <c r="M53" i="1"/>
  <c r="M308" i="1"/>
  <c r="M293" i="1"/>
  <c r="M313" i="1"/>
  <c r="M329" i="1"/>
  <c r="M345" i="1"/>
  <c r="M361" i="1"/>
  <c r="M377" i="1"/>
  <c r="M393" i="1"/>
  <c r="M409" i="1"/>
  <c r="M425" i="1"/>
  <c r="M441" i="1"/>
  <c r="M457" i="1"/>
  <c r="M473" i="1"/>
  <c r="M489" i="1"/>
  <c r="M505" i="1"/>
  <c r="M521" i="1"/>
  <c r="M537" i="1"/>
  <c r="M553" i="1"/>
  <c r="M569" i="1"/>
  <c r="M585" i="1"/>
  <c r="M601" i="1"/>
  <c r="M617" i="1"/>
  <c r="M633" i="1"/>
  <c r="M649" i="1"/>
  <c r="M665" i="1"/>
  <c r="M681" i="1"/>
  <c r="M697" i="1"/>
  <c r="M713" i="1"/>
  <c r="M729" i="1"/>
  <c r="M745" i="1"/>
  <c r="M761" i="1"/>
  <c r="M777" i="1"/>
  <c r="M793" i="1"/>
  <c r="M33" i="1"/>
  <c r="M27" i="1"/>
  <c r="M78" i="1"/>
  <c r="M58" i="1"/>
  <c r="M99" i="1"/>
  <c r="M60" i="1"/>
  <c r="M295" i="1"/>
  <c r="M294" i="1"/>
  <c r="M314" i="1"/>
  <c r="M330" i="1"/>
  <c r="M346" i="1"/>
  <c r="M362" i="1"/>
  <c r="M378" i="1"/>
  <c r="M394" i="1"/>
  <c r="M410" i="1"/>
  <c r="M426" i="1"/>
  <c r="M442" i="1"/>
  <c r="M458" i="1"/>
  <c r="M474" i="1"/>
  <c r="M490" i="1"/>
  <c r="M506" i="1"/>
  <c r="M522" i="1"/>
  <c r="M538" i="1"/>
  <c r="M554" i="1"/>
  <c r="M570" i="1"/>
  <c r="M586" i="1"/>
  <c r="M602" i="1"/>
  <c r="M618" i="1"/>
  <c r="M634" i="1"/>
  <c r="M650" i="1"/>
  <c r="M666" i="1"/>
  <c r="M682" i="1"/>
  <c r="M698" i="1"/>
  <c r="M714" i="1"/>
  <c r="M730" i="1"/>
  <c r="M746" i="1"/>
  <c r="M762" i="1"/>
  <c r="M778" i="1"/>
  <c r="M794" i="1"/>
  <c r="M79" i="1"/>
  <c r="M296" i="1"/>
  <c r="M280" i="1"/>
  <c r="M795" i="1"/>
  <c r="M80" i="1"/>
  <c r="M297" i="1"/>
  <c r="M281" i="1"/>
  <c r="M796" i="1"/>
  <c r="M22" i="1"/>
  <c r="M38" i="1"/>
  <c r="M54" i="1"/>
  <c r="M70" i="1"/>
  <c r="M86" i="1"/>
  <c r="M104" i="1"/>
  <c r="M319" i="1"/>
  <c r="M335" i="1"/>
  <c r="M351" i="1"/>
  <c r="M367" i="1"/>
  <c r="M383" i="1"/>
  <c r="M399" i="1"/>
  <c r="M415" i="1"/>
  <c r="M431" i="1"/>
  <c r="M447" i="1"/>
  <c r="M463" i="1"/>
  <c r="M479" i="1"/>
  <c r="M495" i="1"/>
  <c r="M511" i="1"/>
  <c r="M527" i="1"/>
  <c r="M543" i="1"/>
  <c r="M559" i="1"/>
  <c r="M575" i="1"/>
  <c r="M591" i="1"/>
  <c r="M607" i="1"/>
  <c r="M623" i="1"/>
  <c r="M639" i="1"/>
  <c r="M655" i="1"/>
  <c r="M671" i="1"/>
  <c r="M687" i="1"/>
  <c r="M703" i="1"/>
  <c r="M719" i="1"/>
  <c r="M735" i="1"/>
  <c r="M751" i="1"/>
  <c r="M767" i="1"/>
  <c r="M23" i="1"/>
  <c r="M55" i="1"/>
  <c r="M71" i="1"/>
  <c r="M88" i="1"/>
  <c r="M304" i="1"/>
  <c r="M7" i="1"/>
  <c r="M24" i="1"/>
  <c r="M40" i="1"/>
  <c r="M56" i="1"/>
  <c r="M72" i="1"/>
  <c r="M289" i="1"/>
  <c r="M305" i="1"/>
  <c r="M9" i="1"/>
  <c r="M290" i="1"/>
  <c r="M306" i="1"/>
  <c r="M28" i="1"/>
  <c r="M29" i="1"/>
  <c r="M61" i="1"/>
  <c r="M77" i="1"/>
  <c r="M278" i="1"/>
  <c r="M326" i="1"/>
  <c r="M342" i="1"/>
  <c r="M358" i="1"/>
  <c r="M374" i="1"/>
  <c r="M390" i="1"/>
  <c r="M406" i="1"/>
  <c r="M422" i="1"/>
  <c r="M438" i="1"/>
  <c r="M454" i="1"/>
  <c r="M470" i="1"/>
  <c r="M486" i="1"/>
  <c r="M502" i="1"/>
  <c r="M518" i="1"/>
  <c r="M534" i="1"/>
  <c r="M550" i="1"/>
  <c r="M566" i="1"/>
  <c r="M582" i="1"/>
  <c r="M598" i="1"/>
  <c r="M614" i="1"/>
  <c r="M630" i="1"/>
  <c r="M646" i="1"/>
  <c r="M662" i="1"/>
  <c r="M46" i="1"/>
  <c r="M96" i="1"/>
  <c r="M279" i="1"/>
  <c r="M311" i="1"/>
  <c r="M327" i="1"/>
  <c r="M343" i="1"/>
  <c r="M359" i="1"/>
  <c r="M375" i="1"/>
  <c r="M391" i="1"/>
  <c r="M407" i="1"/>
  <c r="M423" i="1"/>
  <c r="M439" i="1"/>
  <c r="M455" i="1"/>
  <c r="M471" i="1"/>
  <c r="M487" i="1"/>
  <c r="M503" i="1"/>
  <c r="M519" i="1"/>
  <c r="M535" i="1"/>
  <c r="M551" i="1"/>
  <c r="M567" i="1"/>
  <c r="M583" i="1"/>
  <c r="M599" i="1"/>
  <c r="M615" i="1"/>
  <c r="M631" i="1"/>
  <c r="M647" i="1"/>
  <c r="M663" i="1"/>
  <c r="M679" i="1"/>
  <c r="M695" i="1"/>
  <c r="M711" i="1"/>
  <c r="M727" i="1"/>
  <c r="M743" i="1"/>
  <c r="M759" i="1"/>
  <c r="M775" i="1"/>
  <c r="M81" i="1"/>
  <c r="M34" i="1"/>
  <c r="M100" i="1"/>
  <c r="M315" i="1"/>
  <c r="M331" i="1"/>
  <c r="M347" i="1"/>
  <c r="M363" i="1"/>
  <c r="M379" i="1"/>
  <c r="M395" i="1"/>
  <c r="M411" i="1"/>
  <c r="M427" i="1"/>
  <c r="M443" i="1"/>
  <c r="M459" i="1"/>
  <c r="M475" i="1"/>
  <c r="M491" i="1"/>
  <c r="M507" i="1"/>
  <c r="M523" i="1"/>
  <c r="M539" i="1"/>
  <c r="M555" i="1"/>
  <c r="M571" i="1"/>
  <c r="M587" i="1"/>
  <c r="M603" i="1"/>
  <c r="M619" i="1"/>
  <c r="M635" i="1"/>
  <c r="M651" i="1"/>
  <c r="M667" i="1"/>
  <c r="M683" i="1"/>
  <c r="M699" i="1"/>
  <c r="M715" i="1"/>
  <c r="M731" i="1"/>
  <c r="M747" i="1"/>
  <c r="M763" i="1"/>
  <c r="M779" i="1"/>
  <c r="M35" i="1"/>
  <c r="M51" i="1"/>
  <c r="M83" i="1"/>
  <c r="M101" i="1"/>
  <c r="M316" i="1"/>
  <c r="M332" i="1"/>
  <c r="M348" i="1"/>
  <c r="M364" i="1"/>
  <c r="M380" i="1"/>
  <c r="M396" i="1"/>
  <c r="M412" i="1"/>
  <c r="M428" i="1"/>
  <c r="M444" i="1"/>
  <c r="M460" i="1"/>
  <c r="M476" i="1"/>
  <c r="M492" i="1"/>
  <c r="M508" i="1"/>
  <c r="M524" i="1"/>
  <c r="M540" i="1"/>
  <c r="M556" i="1"/>
  <c r="M572" i="1"/>
  <c r="M588" i="1"/>
  <c r="M604" i="1"/>
  <c r="M620" i="1"/>
  <c r="M636" i="1"/>
  <c r="M652" i="1"/>
  <c r="M668" i="1"/>
  <c r="M684" i="1"/>
  <c r="M700" i="1"/>
  <c r="M716" i="1"/>
  <c r="M732" i="1"/>
  <c r="M748" i="1"/>
  <c r="M764" i="1"/>
  <c r="M780" i="1"/>
  <c r="M3" i="1"/>
  <c r="M20" i="1"/>
  <c r="M36" i="1"/>
  <c r="M52" i="1"/>
  <c r="M84" i="1"/>
  <c r="M102" i="1"/>
  <c r="M69" i="1"/>
  <c r="M103" i="1"/>
  <c r="M318" i="1"/>
  <c r="M334" i="1"/>
  <c r="M350" i="1"/>
  <c r="M366" i="1"/>
  <c r="M382" i="1"/>
  <c r="M398" i="1"/>
  <c r="M414" i="1"/>
  <c r="M430" i="1"/>
  <c r="M446" i="1"/>
  <c r="M462" i="1"/>
  <c r="M478" i="1"/>
  <c r="M494" i="1"/>
  <c r="M510" i="1"/>
  <c r="M526" i="1"/>
  <c r="M542" i="1"/>
  <c r="M558" i="1"/>
  <c r="M574" i="1"/>
  <c r="M590" i="1"/>
  <c r="M606" i="1"/>
  <c r="M622" i="1"/>
  <c r="M638" i="1"/>
  <c r="M654" i="1"/>
  <c r="M670" i="1"/>
</calcChain>
</file>

<file path=xl/sharedStrings.xml><?xml version="1.0" encoding="utf-8"?>
<sst xmlns="http://schemas.openxmlformats.org/spreadsheetml/2006/main" count="1344" uniqueCount="301">
  <si>
    <t>Location</t>
  </si>
  <si>
    <t>Staff</t>
  </si>
  <si>
    <t>Centre</t>
  </si>
  <si>
    <t>Centre Number</t>
  </si>
  <si>
    <t xml:space="preserve">Client Name </t>
  </si>
  <si>
    <t>Husband</t>
  </si>
  <si>
    <t>Date of Disbursement</t>
  </si>
  <si>
    <t>Loan Amount</t>
  </si>
  <si>
    <t>Amount Due</t>
  </si>
  <si>
    <t>Pending Period Days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</si>
  <si>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</si>
  <si>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</si>
  <si>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</si>
  <si>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</si>
  <si>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</si>
  <si>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</si>
  <si>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</si>
  <si>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</si>
  <si>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</si>
  <si>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</si>
  <si>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</si>
  <si>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</si>
  <si>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</si>
  <si>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</si>
  <si>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</si>
  <si>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</si>
  <si>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</si>
  <si>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</si>
  <si>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</si>
  <si>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</si>
  <si>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</si>
  <si>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</si>
  <si>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</si>
  <si>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</si>
  <si>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</si>
  <si>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</si>
  <si>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</si>
  <si>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</si>
  <si>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</si>
  <si>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</si>
  <si>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</si>
  <si>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</si>
  <si>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</si>
  <si>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</si>
  <si>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</si>
  <si>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</si>
  <si>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</si>
  <si>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</si>
  <si>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</si>
  <si>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</si>
  <si>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</si>
  <si>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</si>
  <si>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</si>
  <si>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</si>
  <si>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</si>
  <si>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</si>
  <si>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</si>
  <si>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</si>
  <si>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</si>
  <si>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</si>
  <si>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</si>
  <si>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</si>
  <si>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</si>
  <si>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</si>
  <si>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</si>
  <si>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</si>
  <si>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</si>
  <si>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</si>
  <si>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</si>
  <si>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</si>
  <si>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Sandaha</t>
  </si>
  <si>
    <t>Nandlal</t>
  </si>
  <si>
    <t>Ashapur</t>
  </si>
  <si>
    <t>Vijay Devi</t>
  </si>
  <si>
    <t>Sunita</t>
  </si>
  <si>
    <t>Jyoti</t>
  </si>
  <si>
    <t>Munni</t>
  </si>
  <si>
    <t>Lamhi</t>
  </si>
  <si>
    <t>Reshma</t>
  </si>
  <si>
    <t>Hiramani</t>
  </si>
  <si>
    <t>Mina</t>
  </si>
  <si>
    <t>Renu</t>
  </si>
  <si>
    <t>Rinu</t>
  </si>
  <si>
    <t>Sarita</t>
  </si>
  <si>
    <t>Mala</t>
  </si>
  <si>
    <t>Rinki</t>
  </si>
  <si>
    <t>Ravi</t>
  </si>
  <si>
    <t>Sanju</t>
  </si>
  <si>
    <t>Savitri</t>
  </si>
  <si>
    <t>Malti</t>
  </si>
  <si>
    <t>Lalmani</t>
  </si>
  <si>
    <t>Mamta</t>
  </si>
  <si>
    <t>Panchkoshi</t>
  </si>
  <si>
    <t>Sangeeta</t>
  </si>
  <si>
    <t>Poonam</t>
  </si>
  <si>
    <t>Asha</t>
  </si>
  <si>
    <t>Seema</t>
  </si>
  <si>
    <t>Sita</t>
  </si>
  <si>
    <t>Gudiya</t>
  </si>
  <si>
    <t>Lakharav</t>
  </si>
  <si>
    <t>Urmila</t>
  </si>
  <si>
    <t>Dharmavati</t>
  </si>
  <si>
    <t>Anju</t>
  </si>
  <si>
    <t>Sheela</t>
  </si>
  <si>
    <t>Chanda</t>
  </si>
  <si>
    <t>Ashapur - 5</t>
  </si>
  <si>
    <t>Ratna</t>
  </si>
  <si>
    <t>Bindu</t>
  </si>
  <si>
    <t>Phula</t>
  </si>
  <si>
    <t>Mavayya</t>
  </si>
  <si>
    <t>Soni</t>
  </si>
  <si>
    <t>Saroj</t>
  </si>
  <si>
    <t>savitri</t>
  </si>
  <si>
    <t>Shashi</t>
  </si>
  <si>
    <t>Khalispur</t>
  </si>
  <si>
    <t>Sona</t>
  </si>
  <si>
    <t>Kusum</t>
  </si>
  <si>
    <t>Anita</t>
  </si>
  <si>
    <t>Khotawa</t>
  </si>
  <si>
    <t>Rita</t>
  </si>
  <si>
    <t>Sitara</t>
  </si>
  <si>
    <t>Rajkumari</t>
  </si>
  <si>
    <t>Resham</t>
  </si>
  <si>
    <t>Kiran</t>
  </si>
  <si>
    <t>Chunadih</t>
  </si>
  <si>
    <t>Santoshi</t>
  </si>
  <si>
    <t>Shimla</t>
  </si>
  <si>
    <t>Durganagar</t>
  </si>
  <si>
    <t>Priyanka</t>
  </si>
  <si>
    <t>Manju</t>
  </si>
  <si>
    <t>Rekha</t>
  </si>
  <si>
    <t>Parvati</t>
  </si>
  <si>
    <t>Rustompur</t>
  </si>
  <si>
    <t xml:space="preserve">Jyoti </t>
  </si>
  <si>
    <t>Pooja</t>
  </si>
  <si>
    <t>Anjali</t>
  </si>
  <si>
    <t>Meena</t>
  </si>
  <si>
    <t>Prabhavati</t>
  </si>
  <si>
    <t>Nilam</t>
  </si>
  <si>
    <t>Shila</t>
  </si>
  <si>
    <t>Nevada</t>
  </si>
  <si>
    <t>Khushi</t>
  </si>
  <si>
    <t>Usha</t>
  </si>
  <si>
    <t>Shyamkali</t>
  </si>
  <si>
    <t>Salarpur</t>
  </si>
  <si>
    <t>Basanti</t>
  </si>
  <si>
    <t>Rupa</t>
  </si>
  <si>
    <t>Rajani</t>
  </si>
  <si>
    <t>Dipmala</t>
  </si>
  <si>
    <t>Ujala Devi</t>
  </si>
  <si>
    <t>Kavita</t>
  </si>
  <si>
    <t>Ravina</t>
  </si>
  <si>
    <t>Laxmina</t>
  </si>
  <si>
    <t>Shyamdulari</t>
  </si>
  <si>
    <t>Loan Status</t>
  </si>
  <si>
    <t>Punam</t>
  </si>
  <si>
    <t>Savita</t>
  </si>
  <si>
    <t>Special Remarks</t>
  </si>
  <si>
    <t>Premature Settlement</t>
  </si>
  <si>
    <t>Akhri</t>
  </si>
  <si>
    <t>Lathia-2</t>
  </si>
  <si>
    <t>Mohini</t>
  </si>
  <si>
    <t>Nisha</t>
  </si>
  <si>
    <t>sharmila</t>
  </si>
  <si>
    <t>Sumitra</t>
  </si>
  <si>
    <t>Girja</t>
  </si>
  <si>
    <t>Amravati</t>
  </si>
  <si>
    <t>Lathia-1</t>
  </si>
  <si>
    <t>Seeta</t>
  </si>
  <si>
    <t>Shivkumari</t>
  </si>
  <si>
    <t>Munni-iii</t>
  </si>
  <si>
    <t>Rani</t>
  </si>
  <si>
    <t>Monica</t>
  </si>
  <si>
    <t>Zeera</t>
  </si>
  <si>
    <t>Ranjana</t>
  </si>
  <si>
    <t>Rukmina</t>
  </si>
  <si>
    <t>Pramila</t>
  </si>
  <si>
    <t>Munni-ii</t>
  </si>
  <si>
    <t>Reena</t>
  </si>
  <si>
    <t>Sushma-i</t>
  </si>
  <si>
    <t>Kalavati</t>
  </si>
  <si>
    <t>Sukhdevi</t>
  </si>
  <si>
    <t>Saroja</t>
  </si>
  <si>
    <t>Meera</t>
  </si>
  <si>
    <t>Sushma-ii</t>
  </si>
  <si>
    <t>Munni-i</t>
  </si>
  <si>
    <t>AdityaNagar</t>
  </si>
  <si>
    <t>Leelavati</t>
  </si>
  <si>
    <t>Yashoda</t>
  </si>
  <si>
    <t>Nirmala</t>
  </si>
  <si>
    <t>Gayatri</t>
  </si>
  <si>
    <t>Kiran-i</t>
  </si>
  <si>
    <t>Kiran-ii</t>
  </si>
  <si>
    <t>FCI</t>
  </si>
  <si>
    <t>Chunmun</t>
  </si>
  <si>
    <t>Vandana</t>
  </si>
  <si>
    <t>nIRMALA</t>
  </si>
  <si>
    <t>Laxmi</t>
  </si>
  <si>
    <t xml:space="preserve">Kiran </t>
  </si>
  <si>
    <t>Vimal</t>
  </si>
  <si>
    <t>Rajeshwari</t>
  </si>
  <si>
    <t>Sarkaripura</t>
  </si>
  <si>
    <t>Chandni</t>
  </si>
  <si>
    <t>Nagina</t>
  </si>
  <si>
    <t>Shalu</t>
  </si>
  <si>
    <t>Chinta</t>
  </si>
  <si>
    <t>Guggan</t>
  </si>
  <si>
    <t>Maheshpur-2</t>
  </si>
  <si>
    <t>Guddi</t>
  </si>
  <si>
    <t>Sapna</t>
  </si>
  <si>
    <t>Aarti</t>
  </si>
  <si>
    <t>Aarti-iii</t>
  </si>
  <si>
    <t>Sunita-I</t>
  </si>
  <si>
    <t>Reena-ii</t>
  </si>
  <si>
    <t>Prema</t>
  </si>
  <si>
    <t>Jyoti-i</t>
  </si>
  <si>
    <t>Rihana</t>
  </si>
  <si>
    <t>Anshu patel</t>
  </si>
  <si>
    <t>lalmani</t>
  </si>
  <si>
    <t>Rashi</t>
  </si>
  <si>
    <t>Pinky Gupta</t>
  </si>
  <si>
    <t>Lalita</t>
  </si>
  <si>
    <t>Pinky</t>
  </si>
  <si>
    <t>Shreeti</t>
  </si>
  <si>
    <t>Reena=I</t>
  </si>
  <si>
    <t>Kushboo</t>
  </si>
  <si>
    <t>Ramavati</t>
  </si>
  <si>
    <t>Gudiya-ii</t>
  </si>
  <si>
    <t>Pratima</t>
  </si>
  <si>
    <t>Suggan</t>
  </si>
  <si>
    <t>Sunita-Ii</t>
  </si>
  <si>
    <t>Masoom</t>
  </si>
  <si>
    <t>Malavati</t>
  </si>
  <si>
    <t>Geeta</t>
  </si>
  <si>
    <t>Sushila</t>
  </si>
  <si>
    <t>Sharmila</t>
  </si>
  <si>
    <t>Preeti</t>
  </si>
  <si>
    <t>Sharda</t>
  </si>
  <si>
    <t>Manisha</t>
  </si>
  <si>
    <t>Neelam</t>
  </si>
  <si>
    <t>Phoolkumari</t>
  </si>
  <si>
    <t>Meela</t>
  </si>
  <si>
    <t>Deepa</t>
  </si>
  <si>
    <t>Nitu</t>
  </si>
  <si>
    <t>Maheshpur-1</t>
  </si>
  <si>
    <t>Madhuri</t>
  </si>
  <si>
    <t>Radha</t>
  </si>
  <si>
    <t>Chandrakala</t>
  </si>
  <si>
    <t>Sandhya</t>
  </si>
  <si>
    <t>Imarta</t>
  </si>
  <si>
    <t>Baby</t>
  </si>
  <si>
    <t>Manikpur</t>
  </si>
  <si>
    <t>Ranibala</t>
  </si>
  <si>
    <t>Shyampari</t>
  </si>
  <si>
    <t>Shivam</t>
  </si>
  <si>
    <t>Lalit</t>
  </si>
  <si>
    <t>RITA</t>
  </si>
  <si>
    <t>Kakarmatta</t>
  </si>
  <si>
    <t>Nannhibegum</t>
  </si>
  <si>
    <t>Rooplata</t>
  </si>
  <si>
    <t>Rajan</t>
  </si>
  <si>
    <t>Hyderabad Gate</t>
  </si>
  <si>
    <t>Karoundi</t>
  </si>
  <si>
    <t>Khushipur</t>
  </si>
  <si>
    <t>Meenaxi</t>
  </si>
  <si>
    <t>Sundarpur</t>
  </si>
  <si>
    <t>Chaya</t>
  </si>
  <si>
    <t>Deepika</t>
  </si>
  <si>
    <t>Archana</t>
  </si>
  <si>
    <t>Khushboo</t>
  </si>
  <si>
    <t xml:space="preserve">dhiraj </t>
  </si>
  <si>
    <t>sandaha</t>
  </si>
  <si>
    <t>Sathawa</t>
  </si>
  <si>
    <t>Gujrathi</t>
  </si>
  <si>
    <t>Niyasa</t>
  </si>
  <si>
    <t>Paigamberpur</t>
  </si>
  <si>
    <t>Mira</t>
  </si>
  <si>
    <t>Saraswati</t>
  </si>
  <si>
    <t>Gita</t>
  </si>
  <si>
    <t>Usha Devi</t>
  </si>
  <si>
    <t>Daniyalpur</t>
  </si>
  <si>
    <t>Khushbu</t>
  </si>
  <si>
    <t>Ganj Sarnath</t>
  </si>
  <si>
    <t>Sonmati</t>
  </si>
  <si>
    <t>Shakuntala</t>
  </si>
  <si>
    <t>Shanti</t>
  </si>
  <si>
    <t>4600 Adjusted with Old Loan</t>
  </si>
  <si>
    <t>Premature Settlement 4600 Settled from new loan</t>
  </si>
  <si>
    <t>Archana Devi</t>
  </si>
  <si>
    <t>Moni</t>
  </si>
  <si>
    <t>Premature settlement - 4600 settled with new loan</t>
  </si>
  <si>
    <t>Farida</t>
  </si>
  <si>
    <t>Todays Date</t>
  </si>
  <si>
    <t>Due Date</t>
  </si>
  <si>
    <t>Pending for calculation</t>
  </si>
  <si>
    <t>Menaka</t>
  </si>
  <si>
    <t>Arati</t>
  </si>
  <si>
    <t>3000 Adjusted with Old loan</t>
  </si>
  <si>
    <t>Premature Settlement 3000 Adjusted with New Loan</t>
  </si>
  <si>
    <t>Premature settlement 1000 adjusted with New Loan</t>
  </si>
  <si>
    <t>1000 Adjusted of Old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</si>
</sst>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" fontId="0" fillId="3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0" xfId="0" applyFont="1" applyFill="1" applyAlignment="1">
      <alignment vertical="center"/>
    </xf>
    <xf numFmtId="0" fontId="0" fillId="5" borderId="1" xfId="0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6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</cellXfs>
  <cellStyles count="1">
    <cellStyle name="Normal" xfId="0" builtinId="0"/>
  </cellStyles>
  <dxfs count="2">
    <dxf>
      <font>
        <color theme="1"/>
      </font>
      <numFmt numFmtId="0" formatCode="General"/>
      <fill>
        <patternFill patternType="darkTrellis">
          <fgColor theme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99F9-2625-4779-AA10-D54A6BF381E7}">
  <sheetPr codeName="Sheet1"/>
  <dimension ref="A1:BX798"/>
  <sheetViews>
    <sheetView tabSelected="1" workbookViewId="0">
      <pane ySplit="1" topLeftCell="A2" activePane="bottomLeft" state="frozen"/>
      <selection activeCell="D1" sqref="D1"/>
      <selection pane="bottomLeft" activeCell="Q817" sqref="Q817:Q827"/>
    </sheetView>
  </sheetViews>
  <sheetFormatPr defaultColWidth="8.88671875" defaultRowHeight="14.4" x14ac:dyDescent="0.3"/>
  <cols>
    <col min="1" max="1" width="12.5546875" style="2" bestFit="1" customWidth="1"/>
    <col min="2" max="2" width="15.21875" style="2" bestFit="1" customWidth="1"/>
    <col min="3" max="3" width="14.21875" style="2" bestFit="1" customWidth="1"/>
    <col min="4" max="4" width="18" style="2" bestFit="1" customWidth="1"/>
    <col min="5" max="5" width="15.88671875" style="2" bestFit="1" customWidth="1"/>
    <col min="6" max="6" width="12.33203125" style="2" bestFit="1" customWidth="1"/>
    <col min="7" max="7" width="23.21875" style="2" bestFit="1" customWidth="1"/>
    <col min="8" max="9" width="23.21875" style="19" customWidth="1"/>
    <col min="10" max="10" width="23.21875" style="16" customWidth="1"/>
    <col min="11" max="11" width="16.21875" style="2" bestFit="1" customWidth="1"/>
    <col min="12" max="13" width="15.5546875" style="2" customWidth="1"/>
    <col min="14" max="14" width="19.109375" style="2" customWidth="1"/>
    <col min="15" max="15" width="14.88671875" style="2" customWidth="1"/>
    <col min="16" max="16" width="22.109375" style="2" customWidth="1"/>
    <col min="17" max="25" width="10" style="2" bestFit="1" customWidth="1"/>
    <col min="26" max="76" width="11" style="2" bestFit="1" customWidth="1"/>
    <col min="77" max="16384" width="8.88671875" style="2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" t="s">
        <v>292</v>
      </c>
      <c r="I1" s="16" t="s">
        <v>293</v>
      </c>
      <c r="J1" s="16" t="s">
        <v>294</v>
      </c>
      <c r="K1" s="1" t="s">
        <v>7</v>
      </c>
      <c r="L1" s="1" t="s">
        <v>8</v>
      </c>
      <c r="M1" s="1"/>
      <c r="N1" s="1" t="s">
        <v>157</v>
      </c>
      <c r="O1" s="1" t="s">
        <v>154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  <c r="BW1" s="1" t="s">
        <v>68</v>
      </c>
      <c r="BX1" s="1" t="s">
        <v>69</v>
      </c>
    </row>
    <row r="2" spans="1:76" ht="15.6" x14ac:dyDescent="0.3">
      <c r="A2" s="3" t="s">
        <v>70</v>
      </c>
      <c r="B2" s="3" t="s">
        <v>71</v>
      </c>
      <c r="C2" s="3" t="s">
        <v>144</v>
      </c>
      <c r="D2" s="3"/>
      <c r="E2" s="4" t="s">
        <v>123</v>
      </c>
      <c r="F2" s="3"/>
      <c r="G2" s="5">
        <v>46014</v>
      </c>
      <c r="H2" s="17">
        <v>46069</v>
      </c>
      <c r="I2" s="17">
        <f t="shared" ref="I2:I7" si="0">G2+60</f>
        <v>46074</v>
      </c>
      <c r="J2" s="16">
        <f t="shared" ref="J2:J7" si="1">I2-H2</f>
        <v>5</v>
      </c>
      <c r="K2" s="3">
        <v>12000</v>
      </c>
      <c r="L2" s="3">
        <f t="shared" ref="L2:L65" si="2">K2-SUM(Q2:BX2)</f>
        <v>0</v>
      </c>
      <c r="M2" s="20" t="b">
        <f>J2=P2</f>
        <v>0</v>
      </c>
      <c r="N2" s="2" t="s">
        <v>299</v>
      </c>
      <c r="O2" s="6" t="str">
        <f t="shared" ref="O2:O65" si="3">IF(COUNTA(P2:BW2)=COLUMNS(P2:BW2),"Closed","Open")</f>
        <v>Closed</v>
      </c>
      <c r="P2" s="3">
        <f t="shared" ref="P2:P65" si="4">60-COUNT(Q2:BX2)</f>
        <v>0</v>
      </c>
      <c r="Q2" s="3">
        <v>200</v>
      </c>
      <c r="R2" s="3">
        <v>200</v>
      </c>
      <c r="S2" s="3">
        <v>200</v>
      </c>
      <c r="T2" s="3">
        <v>200</v>
      </c>
      <c r="U2" s="3">
        <v>200</v>
      </c>
      <c r="V2" s="3">
        <v>200</v>
      </c>
      <c r="W2" s="3">
        <v>200</v>
      </c>
      <c r="X2" s="3">
        <v>200</v>
      </c>
      <c r="Y2" s="3">
        <v>200</v>
      </c>
      <c r="Z2" s="3">
        <v>200</v>
      </c>
      <c r="AA2" s="3">
        <v>200</v>
      </c>
      <c r="AB2" s="3">
        <v>200</v>
      </c>
      <c r="AC2" s="3">
        <v>200</v>
      </c>
      <c r="AD2" s="3">
        <v>200</v>
      </c>
      <c r="AE2" s="3">
        <v>200</v>
      </c>
      <c r="AF2" s="3">
        <v>200</v>
      </c>
      <c r="AG2" s="3">
        <v>200</v>
      </c>
      <c r="AH2" s="3">
        <v>200</v>
      </c>
      <c r="AI2" s="3">
        <v>200</v>
      </c>
      <c r="AJ2" s="3">
        <v>200</v>
      </c>
      <c r="AK2" s="3">
        <v>200</v>
      </c>
      <c r="AL2" s="3">
        <v>200</v>
      </c>
      <c r="AM2" s="3">
        <v>200</v>
      </c>
      <c r="AN2" s="3">
        <v>200</v>
      </c>
      <c r="AO2" s="3">
        <v>200</v>
      </c>
      <c r="AP2" s="3">
        <v>200</v>
      </c>
      <c r="AQ2" s="3">
        <v>200</v>
      </c>
      <c r="AR2" s="3">
        <v>200</v>
      </c>
      <c r="AS2" s="3">
        <v>200</v>
      </c>
      <c r="AT2" s="3">
        <v>200</v>
      </c>
      <c r="AU2" s="3">
        <v>200</v>
      </c>
      <c r="AV2" s="3">
        <v>200</v>
      </c>
      <c r="AW2" s="3">
        <v>200</v>
      </c>
      <c r="AX2" s="3">
        <v>200</v>
      </c>
      <c r="AY2" s="3">
        <v>200</v>
      </c>
      <c r="AZ2" s="3">
        <v>200</v>
      </c>
      <c r="BA2" s="3">
        <v>200</v>
      </c>
      <c r="BB2" s="3">
        <v>200</v>
      </c>
      <c r="BC2" s="3">
        <v>200</v>
      </c>
      <c r="BD2" s="3">
        <v>200</v>
      </c>
      <c r="BE2" s="3">
        <v>200</v>
      </c>
      <c r="BF2" s="3">
        <v>200</v>
      </c>
      <c r="BG2" s="3">
        <v>200</v>
      </c>
      <c r="BH2" s="3">
        <v>200</v>
      </c>
      <c r="BI2" s="3">
        <v>200</v>
      </c>
      <c r="BJ2" s="3">
        <v>200</v>
      </c>
      <c r="BK2" s="3">
        <v>200</v>
      </c>
      <c r="BL2" s="3">
        <v>200</v>
      </c>
      <c r="BM2" s="3">
        <v>200</v>
      </c>
      <c r="BN2" s="3">
        <v>200</v>
      </c>
      <c r="BO2" s="3">
        <v>200</v>
      </c>
      <c r="BP2" s="3">
        <v>200</v>
      </c>
      <c r="BQ2" s="3">
        <v>200</v>
      </c>
      <c r="BR2" s="3">
        <v>200</v>
      </c>
      <c r="BS2" s="3">
        <v>200</v>
      </c>
      <c r="BT2" s="3">
        <v>200</v>
      </c>
      <c r="BU2" s="3">
        <v>200</v>
      </c>
      <c r="BV2" s="3">
        <v>200</v>
      </c>
      <c r="BW2" s="3">
        <v>200</v>
      </c>
      <c r="BX2" s="3">
        <v>200</v>
      </c>
    </row>
    <row r="3" spans="1:76" ht="15.6" x14ac:dyDescent="0.3">
      <c r="A3" s="3" t="s">
        <v>70</v>
      </c>
      <c r="B3" s="3" t="s">
        <v>71</v>
      </c>
      <c r="C3" s="3" t="s">
        <v>144</v>
      </c>
      <c r="D3" s="3"/>
      <c r="E3" s="4" t="s">
        <v>145</v>
      </c>
      <c r="F3" s="3"/>
      <c r="G3" s="5">
        <v>46020</v>
      </c>
      <c r="H3" s="17">
        <v>46069</v>
      </c>
      <c r="I3" s="17">
        <f t="shared" si="0"/>
        <v>46080</v>
      </c>
      <c r="J3" s="16">
        <f t="shared" si="1"/>
        <v>11</v>
      </c>
      <c r="K3" s="3">
        <v>12000</v>
      </c>
      <c r="L3" s="3">
        <f t="shared" si="2"/>
        <v>2200</v>
      </c>
      <c r="M3" s="20" t="b">
        <f t="shared" ref="M3:M7" si="5">J3=P3</f>
        <v>1</v>
      </c>
      <c r="O3" s="6" t="str">
        <f t="shared" si="3"/>
        <v>Open</v>
      </c>
      <c r="P3" s="3">
        <f t="shared" si="4"/>
        <v>11</v>
      </c>
      <c r="Q3" s="3">
        <v>200</v>
      </c>
      <c r="R3" s="3">
        <v>200</v>
      </c>
      <c r="S3" s="3">
        <v>200</v>
      </c>
      <c r="T3" s="3">
        <v>200</v>
      </c>
      <c r="U3" s="3">
        <v>200</v>
      </c>
      <c r="V3" s="3">
        <v>200</v>
      </c>
      <c r="W3" s="3">
        <v>200</v>
      </c>
      <c r="X3" s="3">
        <v>200</v>
      </c>
      <c r="Y3" s="3">
        <v>200</v>
      </c>
      <c r="Z3" s="3">
        <v>200</v>
      </c>
      <c r="AA3" s="3">
        <v>200</v>
      </c>
      <c r="AB3" s="3">
        <v>200</v>
      </c>
      <c r="AC3" s="3">
        <v>200</v>
      </c>
      <c r="AD3" s="3">
        <v>200</v>
      </c>
      <c r="AE3" s="3">
        <v>200</v>
      </c>
      <c r="AF3" s="3">
        <v>200</v>
      </c>
      <c r="AG3" s="3">
        <v>200</v>
      </c>
      <c r="AH3" s="3">
        <v>200</v>
      </c>
      <c r="AI3" s="3">
        <v>200</v>
      </c>
      <c r="AJ3" s="3">
        <v>200</v>
      </c>
      <c r="AK3" s="3">
        <v>200</v>
      </c>
      <c r="AL3" s="3">
        <v>200</v>
      </c>
      <c r="AM3" s="3">
        <v>200</v>
      </c>
      <c r="AN3" s="3">
        <v>200</v>
      </c>
      <c r="AO3" s="3">
        <v>200</v>
      </c>
      <c r="AP3" s="3">
        <v>200</v>
      </c>
      <c r="AQ3" s="3">
        <v>200</v>
      </c>
      <c r="AR3" s="3">
        <v>200</v>
      </c>
      <c r="AS3" s="3">
        <v>200</v>
      </c>
      <c r="AT3" s="3">
        <v>200</v>
      </c>
      <c r="AU3" s="3">
        <v>200</v>
      </c>
      <c r="AV3" s="3">
        <v>200</v>
      </c>
      <c r="AW3" s="3">
        <v>200</v>
      </c>
      <c r="AX3" s="3">
        <v>200</v>
      </c>
      <c r="AY3" s="3">
        <v>200</v>
      </c>
      <c r="AZ3" s="3">
        <v>200</v>
      </c>
      <c r="BA3" s="3">
        <v>200</v>
      </c>
      <c r="BB3" s="3">
        <v>200</v>
      </c>
      <c r="BC3" s="3">
        <v>200</v>
      </c>
      <c r="BD3" s="3">
        <v>200</v>
      </c>
      <c r="BE3" s="3">
        <v>200</v>
      </c>
      <c r="BF3" s="3">
        <v>200</v>
      </c>
      <c r="BG3" s="3">
        <v>200</v>
      </c>
      <c r="BH3" s="3">
        <v>200</v>
      </c>
      <c r="BI3" s="3">
        <v>200</v>
      </c>
      <c r="BJ3" s="3">
        <v>200</v>
      </c>
      <c r="BK3" s="3">
        <v>200</v>
      </c>
      <c r="BL3" s="3">
        <v>200</v>
      </c>
      <c r="BM3" s="3">
        <v>200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</row>
    <row r="4" spans="1:76" ht="15.6" x14ac:dyDescent="0.3">
      <c r="A4" s="3" t="s">
        <v>70</v>
      </c>
      <c r="B4" s="3" t="s">
        <v>71</v>
      </c>
      <c r="C4" s="3" t="s">
        <v>144</v>
      </c>
      <c r="D4" s="3"/>
      <c r="E4" s="4" t="s">
        <v>146</v>
      </c>
      <c r="F4" s="3"/>
      <c r="G4" s="5">
        <v>46027</v>
      </c>
      <c r="H4" s="17">
        <v>46069</v>
      </c>
      <c r="I4" s="17">
        <f t="shared" si="0"/>
        <v>46087</v>
      </c>
      <c r="J4" s="16">
        <f t="shared" si="1"/>
        <v>18</v>
      </c>
      <c r="K4" s="3">
        <v>12000</v>
      </c>
      <c r="L4" s="3">
        <f t="shared" si="2"/>
        <v>3600</v>
      </c>
      <c r="M4" s="20" t="b">
        <f t="shared" si="5"/>
        <v>1</v>
      </c>
      <c r="O4" s="6" t="str">
        <f t="shared" si="3"/>
        <v>Open</v>
      </c>
      <c r="P4" s="3">
        <f t="shared" si="4"/>
        <v>18</v>
      </c>
      <c r="Q4" s="3">
        <v>200</v>
      </c>
      <c r="R4" s="3">
        <v>200</v>
      </c>
      <c r="S4" s="3">
        <v>200</v>
      </c>
      <c r="T4" s="3">
        <v>200</v>
      </c>
      <c r="U4" s="3">
        <v>200</v>
      </c>
      <c r="V4" s="3">
        <v>200</v>
      </c>
      <c r="W4" s="3">
        <v>200</v>
      </c>
      <c r="X4" s="3">
        <v>200</v>
      </c>
      <c r="Y4" s="3">
        <v>200</v>
      </c>
      <c r="Z4" s="3">
        <v>200</v>
      </c>
      <c r="AA4" s="3">
        <v>200</v>
      </c>
      <c r="AB4" s="3">
        <v>200</v>
      </c>
      <c r="AC4" s="3">
        <v>200</v>
      </c>
      <c r="AD4" s="3">
        <v>200</v>
      </c>
      <c r="AE4" s="3">
        <v>200</v>
      </c>
      <c r="AF4" s="3">
        <v>200</v>
      </c>
      <c r="AG4" s="3">
        <v>200</v>
      </c>
      <c r="AH4" s="3">
        <v>200</v>
      </c>
      <c r="AI4" s="3">
        <v>200</v>
      </c>
      <c r="AJ4" s="3">
        <v>200</v>
      </c>
      <c r="AK4" s="3">
        <v>200</v>
      </c>
      <c r="AL4" s="3">
        <v>200</v>
      </c>
      <c r="AM4" s="3">
        <v>200</v>
      </c>
      <c r="AN4" s="3">
        <v>200</v>
      </c>
      <c r="AO4" s="3">
        <v>200</v>
      </c>
      <c r="AP4" s="3">
        <v>200</v>
      </c>
      <c r="AQ4" s="3">
        <v>200</v>
      </c>
      <c r="AR4" s="3">
        <v>200</v>
      </c>
      <c r="AS4" s="3">
        <v>200</v>
      </c>
      <c r="AT4" s="3">
        <v>200</v>
      </c>
      <c r="AU4" s="3">
        <v>200</v>
      </c>
      <c r="AV4" s="3">
        <v>200</v>
      </c>
      <c r="AW4" s="3">
        <v>200</v>
      </c>
      <c r="AX4" s="3">
        <v>200</v>
      </c>
      <c r="AY4" s="3">
        <v>200</v>
      </c>
      <c r="AZ4" s="3">
        <v>200</v>
      </c>
      <c r="BA4" s="3">
        <v>200</v>
      </c>
      <c r="BB4" s="3">
        <v>200</v>
      </c>
      <c r="BC4" s="3">
        <v>200</v>
      </c>
      <c r="BD4" s="3">
        <v>200</v>
      </c>
      <c r="BE4" s="3">
        <v>200</v>
      </c>
      <c r="BF4" s="3">
        <v>200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 spans="1:76" ht="15.6" x14ac:dyDescent="0.3">
      <c r="A5" s="3" t="s">
        <v>70</v>
      </c>
      <c r="B5" s="3" t="s">
        <v>71</v>
      </c>
      <c r="C5" s="3" t="s">
        <v>144</v>
      </c>
      <c r="D5" s="3"/>
      <c r="E5" s="4" t="s">
        <v>147</v>
      </c>
      <c r="F5" s="3"/>
      <c r="G5" s="5">
        <v>46028</v>
      </c>
      <c r="H5" s="17">
        <v>46069</v>
      </c>
      <c r="I5" s="17">
        <f t="shared" si="0"/>
        <v>46088</v>
      </c>
      <c r="J5" s="16">
        <f t="shared" si="1"/>
        <v>19</v>
      </c>
      <c r="K5" s="3">
        <v>12000</v>
      </c>
      <c r="L5" s="3">
        <f t="shared" si="2"/>
        <v>3800</v>
      </c>
      <c r="M5" s="20" t="b">
        <f t="shared" si="5"/>
        <v>1</v>
      </c>
      <c r="O5" s="6" t="str">
        <f t="shared" si="3"/>
        <v>Open</v>
      </c>
      <c r="P5" s="3">
        <f t="shared" si="4"/>
        <v>19</v>
      </c>
      <c r="Q5" s="3">
        <v>200</v>
      </c>
      <c r="R5" s="3">
        <v>200</v>
      </c>
      <c r="S5" s="3">
        <v>200</v>
      </c>
      <c r="T5" s="3">
        <v>200</v>
      </c>
      <c r="U5" s="3">
        <v>200</v>
      </c>
      <c r="V5" s="3">
        <v>200</v>
      </c>
      <c r="W5" s="3">
        <v>200</v>
      </c>
      <c r="X5" s="3">
        <v>200</v>
      </c>
      <c r="Y5" s="3">
        <v>200</v>
      </c>
      <c r="Z5" s="3">
        <v>200</v>
      </c>
      <c r="AA5" s="3">
        <v>200</v>
      </c>
      <c r="AB5" s="3">
        <v>200</v>
      </c>
      <c r="AC5" s="3">
        <v>200</v>
      </c>
      <c r="AD5" s="3">
        <v>200</v>
      </c>
      <c r="AE5" s="3">
        <v>200</v>
      </c>
      <c r="AF5" s="3">
        <v>200</v>
      </c>
      <c r="AG5" s="3">
        <v>200</v>
      </c>
      <c r="AH5" s="3">
        <v>200</v>
      </c>
      <c r="AI5" s="3">
        <v>200</v>
      </c>
      <c r="AJ5" s="3">
        <v>200</v>
      </c>
      <c r="AK5" s="3">
        <v>200</v>
      </c>
      <c r="AL5" s="3">
        <v>200</v>
      </c>
      <c r="AM5" s="3">
        <v>200</v>
      </c>
      <c r="AN5" s="3">
        <v>200</v>
      </c>
      <c r="AO5" s="3">
        <v>200</v>
      </c>
      <c r="AP5" s="3">
        <v>200</v>
      </c>
      <c r="AQ5" s="3">
        <v>200</v>
      </c>
      <c r="AR5" s="3">
        <v>200</v>
      </c>
      <c r="AS5" s="3">
        <v>200</v>
      </c>
      <c r="AT5" s="3">
        <v>200</v>
      </c>
      <c r="AU5" s="3">
        <v>200</v>
      </c>
      <c r="AV5" s="3">
        <v>200</v>
      </c>
      <c r="AW5" s="3">
        <v>200</v>
      </c>
      <c r="AX5" s="3">
        <v>200</v>
      </c>
      <c r="AY5" s="3">
        <v>200</v>
      </c>
      <c r="AZ5" s="3">
        <v>200</v>
      </c>
      <c r="BA5" s="3">
        <v>200</v>
      </c>
      <c r="BB5" s="3">
        <v>200</v>
      </c>
      <c r="BC5" s="3">
        <v>200</v>
      </c>
      <c r="BD5" s="3">
        <v>200</v>
      </c>
      <c r="BE5" s="3"/>
      <c r="BF5" s="3"/>
      <c r="BG5" s="3"/>
      <c r="BH5" s="3"/>
      <c r="BI5" s="3"/>
      <c r="BJ5" s="3"/>
      <c r="BK5" s="3"/>
      <c r="BL5" s="3">
        <v>200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</row>
    <row r="6" spans="1:76" ht="15.6" x14ac:dyDescent="0.3">
      <c r="A6" s="3" t="s">
        <v>70</v>
      </c>
      <c r="B6" s="3" t="s">
        <v>71</v>
      </c>
      <c r="C6" s="3" t="s">
        <v>144</v>
      </c>
      <c r="D6" s="3"/>
      <c r="E6" s="4" t="s">
        <v>91</v>
      </c>
      <c r="F6" s="3"/>
      <c r="G6" s="5">
        <v>46029</v>
      </c>
      <c r="H6" s="17">
        <v>46069</v>
      </c>
      <c r="I6" s="17">
        <f t="shared" si="0"/>
        <v>46089</v>
      </c>
      <c r="J6" s="16">
        <f t="shared" si="1"/>
        <v>20</v>
      </c>
      <c r="K6" s="3">
        <v>12000</v>
      </c>
      <c r="L6" s="3">
        <f t="shared" si="2"/>
        <v>4000</v>
      </c>
      <c r="M6" s="20" t="b">
        <f t="shared" si="5"/>
        <v>1</v>
      </c>
      <c r="O6" s="6" t="str">
        <f t="shared" si="3"/>
        <v>Open</v>
      </c>
      <c r="P6" s="3">
        <f t="shared" si="4"/>
        <v>20</v>
      </c>
      <c r="Q6" s="3">
        <v>200</v>
      </c>
      <c r="R6" s="3">
        <v>200</v>
      </c>
      <c r="S6" s="3">
        <v>200</v>
      </c>
      <c r="T6" s="3">
        <v>200</v>
      </c>
      <c r="U6" s="3">
        <v>200</v>
      </c>
      <c r="V6" s="3">
        <v>200</v>
      </c>
      <c r="W6" s="3">
        <v>200</v>
      </c>
      <c r="X6" s="3">
        <v>200</v>
      </c>
      <c r="Y6" s="3">
        <v>200</v>
      </c>
      <c r="Z6" s="3">
        <v>200</v>
      </c>
      <c r="AA6" s="3">
        <v>200</v>
      </c>
      <c r="AB6" s="3">
        <v>200</v>
      </c>
      <c r="AC6" s="3">
        <v>200</v>
      </c>
      <c r="AD6" s="3">
        <v>200</v>
      </c>
      <c r="AE6" s="3">
        <v>200</v>
      </c>
      <c r="AF6" s="3">
        <v>200</v>
      </c>
      <c r="AG6" s="3">
        <v>200</v>
      </c>
      <c r="AH6" s="3">
        <v>200</v>
      </c>
      <c r="AI6" s="3">
        <v>200</v>
      </c>
      <c r="AJ6" s="3">
        <v>200</v>
      </c>
      <c r="AK6" s="3">
        <v>200</v>
      </c>
      <c r="AL6" s="3">
        <v>200</v>
      </c>
      <c r="AM6" s="3">
        <v>200</v>
      </c>
      <c r="AN6" s="3">
        <v>200</v>
      </c>
      <c r="AO6" s="3">
        <v>200</v>
      </c>
      <c r="AP6" s="3">
        <v>200</v>
      </c>
      <c r="AQ6" s="3">
        <v>200</v>
      </c>
      <c r="AR6" s="3">
        <v>200</v>
      </c>
      <c r="AS6" s="3">
        <v>200</v>
      </c>
      <c r="AT6" s="3">
        <v>200</v>
      </c>
      <c r="AU6" s="3">
        <v>200</v>
      </c>
      <c r="AV6" s="3">
        <v>200</v>
      </c>
      <c r="AW6" s="3">
        <v>200</v>
      </c>
      <c r="AX6" s="3">
        <v>200</v>
      </c>
      <c r="AY6" s="3">
        <v>200</v>
      </c>
      <c r="AZ6" s="3">
        <v>200</v>
      </c>
      <c r="BA6" s="3">
        <v>200</v>
      </c>
      <c r="BB6" s="3">
        <v>200</v>
      </c>
      <c r="BC6" s="3">
        <v>200</v>
      </c>
      <c r="BD6" s="3">
        <v>200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</row>
    <row r="7" spans="1:76" ht="15.6" x14ac:dyDescent="0.3">
      <c r="A7" s="3" t="s">
        <v>70</v>
      </c>
      <c r="B7" s="3" t="s">
        <v>71</v>
      </c>
      <c r="C7" s="3" t="s">
        <v>72</v>
      </c>
      <c r="D7" s="3"/>
      <c r="E7" s="4" t="s">
        <v>73</v>
      </c>
      <c r="F7" s="3"/>
      <c r="G7" s="5">
        <v>46034</v>
      </c>
      <c r="H7" s="17">
        <v>46069</v>
      </c>
      <c r="I7" s="17">
        <f t="shared" si="0"/>
        <v>46094</v>
      </c>
      <c r="J7" s="16">
        <f t="shared" si="1"/>
        <v>25</v>
      </c>
      <c r="K7" s="3">
        <v>12000</v>
      </c>
      <c r="L7" s="3">
        <f t="shared" si="2"/>
        <v>5000</v>
      </c>
      <c r="M7" s="20" t="b">
        <f t="shared" si="5"/>
        <v>1</v>
      </c>
      <c r="O7" s="6" t="str">
        <f t="shared" si="3"/>
        <v>Open</v>
      </c>
      <c r="P7" s="3">
        <f t="shared" si="4"/>
        <v>25</v>
      </c>
      <c r="Q7" s="3">
        <v>200</v>
      </c>
      <c r="R7" s="3">
        <v>200</v>
      </c>
      <c r="S7" s="3">
        <v>200</v>
      </c>
      <c r="T7" s="3">
        <v>200</v>
      </c>
      <c r="U7" s="3">
        <v>200</v>
      </c>
      <c r="V7" s="3">
        <v>200</v>
      </c>
      <c r="W7" s="3">
        <v>200</v>
      </c>
      <c r="X7" s="3">
        <v>200</v>
      </c>
      <c r="Y7" s="3">
        <v>200</v>
      </c>
      <c r="Z7" s="3">
        <v>200</v>
      </c>
      <c r="AA7" s="3">
        <v>200</v>
      </c>
      <c r="AB7" s="3">
        <v>200</v>
      </c>
      <c r="AC7" s="3">
        <v>200</v>
      </c>
      <c r="AD7" s="3">
        <v>200</v>
      </c>
      <c r="AE7" s="3">
        <v>200</v>
      </c>
      <c r="AF7" s="3">
        <v>200</v>
      </c>
      <c r="AG7" s="3">
        <v>200</v>
      </c>
      <c r="AH7" s="3">
        <v>200</v>
      </c>
      <c r="AI7" s="3">
        <v>200</v>
      </c>
      <c r="AJ7" s="3">
        <v>200</v>
      </c>
      <c r="AK7" s="3">
        <v>200</v>
      </c>
      <c r="AL7" s="3">
        <v>200</v>
      </c>
      <c r="AM7" s="3">
        <v>200</v>
      </c>
      <c r="AN7" s="3">
        <v>200</v>
      </c>
      <c r="AO7" s="3">
        <v>200</v>
      </c>
      <c r="AP7" s="3">
        <v>200</v>
      </c>
      <c r="AQ7" s="3">
        <v>200</v>
      </c>
      <c r="AR7" s="3">
        <v>200</v>
      </c>
      <c r="AS7" s="3">
        <v>200</v>
      </c>
      <c r="AT7" s="3">
        <v>200</v>
      </c>
      <c r="AU7" s="3">
        <v>200</v>
      </c>
      <c r="AV7" s="3">
        <v>200</v>
      </c>
      <c r="AW7" s="3">
        <v>200</v>
      </c>
      <c r="AX7" s="3">
        <v>200</v>
      </c>
      <c r="AY7" s="3">
        <v>200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</row>
    <row r="8" spans="1:76" ht="15.6" x14ac:dyDescent="0.3">
      <c r="A8" s="3" t="s">
        <v>70</v>
      </c>
      <c r="B8" s="3" t="s">
        <v>71</v>
      </c>
      <c r="C8" s="3" t="s">
        <v>77</v>
      </c>
      <c r="D8" s="3"/>
      <c r="E8" s="4" t="s">
        <v>80</v>
      </c>
      <c r="F8" s="3"/>
      <c r="G8" s="5">
        <v>46051</v>
      </c>
      <c r="H8" s="17">
        <v>46069</v>
      </c>
      <c r="I8" s="17"/>
      <c r="K8" s="3">
        <v>12000</v>
      </c>
      <c r="L8" s="3">
        <f t="shared" si="2"/>
        <v>0</v>
      </c>
      <c r="M8" s="20"/>
      <c r="N8" s="2" t="s">
        <v>290</v>
      </c>
      <c r="O8" s="6" t="str">
        <f t="shared" si="3"/>
        <v>Closed</v>
      </c>
      <c r="P8" s="3">
        <f t="shared" si="4"/>
        <v>0</v>
      </c>
      <c r="Q8" s="3">
        <v>200</v>
      </c>
      <c r="R8" s="3">
        <v>200</v>
      </c>
      <c r="S8" s="3">
        <v>200</v>
      </c>
      <c r="T8" s="3">
        <v>200</v>
      </c>
      <c r="U8" s="3">
        <v>200</v>
      </c>
      <c r="V8" s="3">
        <v>200</v>
      </c>
      <c r="W8" s="3">
        <v>200</v>
      </c>
      <c r="X8" s="3">
        <v>200</v>
      </c>
      <c r="Y8" s="3">
        <v>200</v>
      </c>
      <c r="Z8" s="3">
        <v>200</v>
      </c>
      <c r="AA8" s="3">
        <v>200</v>
      </c>
      <c r="AB8" s="3">
        <v>200</v>
      </c>
      <c r="AC8" s="3">
        <v>200</v>
      </c>
      <c r="AD8" s="3">
        <v>200</v>
      </c>
      <c r="AE8" s="3">
        <v>200</v>
      </c>
      <c r="AF8" s="3">
        <v>200</v>
      </c>
      <c r="AG8" s="3">
        <v>200</v>
      </c>
      <c r="AH8" s="3">
        <v>200</v>
      </c>
      <c r="AI8" s="3">
        <v>200</v>
      </c>
      <c r="AJ8" s="3">
        <v>200</v>
      </c>
      <c r="AK8" s="3">
        <v>200</v>
      </c>
      <c r="AL8" s="3">
        <v>200</v>
      </c>
      <c r="AM8" s="3">
        <v>200</v>
      </c>
      <c r="AN8" s="3">
        <v>200</v>
      </c>
      <c r="AO8" s="3">
        <v>200</v>
      </c>
      <c r="AP8" s="3">
        <v>200</v>
      </c>
      <c r="AQ8" s="3">
        <v>200</v>
      </c>
      <c r="AR8" s="3">
        <v>200</v>
      </c>
      <c r="AS8" s="3">
        <v>200</v>
      </c>
      <c r="AT8" s="3">
        <v>200</v>
      </c>
      <c r="AU8" s="3">
        <v>200</v>
      </c>
      <c r="AV8" s="3">
        <v>200</v>
      </c>
      <c r="AW8" s="3">
        <v>200</v>
      </c>
      <c r="AX8" s="3">
        <v>200</v>
      </c>
      <c r="AY8" s="3">
        <v>200</v>
      </c>
      <c r="AZ8" s="3">
        <v>200</v>
      </c>
      <c r="BA8" s="3">
        <v>200</v>
      </c>
      <c r="BB8" s="3">
        <v>200</v>
      </c>
      <c r="BC8" s="3">
        <v>200</v>
      </c>
      <c r="BD8" s="3">
        <v>200</v>
      </c>
      <c r="BE8" s="3">
        <v>200</v>
      </c>
      <c r="BF8" s="3">
        <v>200</v>
      </c>
      <c r="BG8" s="3">
        <v>200</v>
      </c>
      <c r="BH8" s="3">
        <v>200</v>
      </c>
      <c r="BI8" s="3">
        <v>200</v>
      </c>
      <c r="BJ8" s="3">
        <v>200</v>
      </c>
      <c r="BK8" s="3">
        <v>200</v>
      </c>
      <c r="BL8" s="3">
        <v>200</v>
      </c>
      <c r="BM8" s="3">
        <v>200</v>
      </c>
      <c r="BN8" s="3">
        <v>200</v>
      </c>
      <c r="BO8" s="3">
        <v>200</v>
      </c>
      <c r="BP8" s="3">
        <v>200</v>
      </c>
      <c r="BQ8" s="3">
        <v>200</v>
      </c>
      <c r="BR8" s="3">
        <v>200</v>
      </c>
      <c r="BS8" s="3">
        <v>200</v>
      </c>
      <c r="BT8" s="3">
        <v>200</v>
      </c>
      <c r="BU8" s="3">
        <v>200</v>
      </c>
      <c r="BV8" s="3">
        <v>200</v>
      </c>
      <c r="BW8" s="3">
        <v>200</v>
      </c>
      <c r="BX8" s="3">
        <v>200</v>
      </c>
    </row>
    <row r="9" spans="1:76" ht="15.6" x14ac:dyDescent="0.3">
      <c r="A9" s="3" t="s">
        <v>70</v>
      </c>
      <c r="B9" s="3" t="s">
        <v>71</v>
      </c>
      <c r="C9" s="3" t="s">
        <v>72</v>
      </c>
      <c r="D9" s="3"/>
      <c r="E9" s="4" t="s">
        <v>74</v>
      </c>
      <c r="F9" s="3"/>
      <c r="G9" s="5">
        <v>46034</v>
      </c>
      <c r="H9" s="17">
        <v>46069</v>
      </c>
      <c r="I9" s="17">
        <f t="shared" ref="I9:I40" si="6">G9+60</f>
        <v>46094</v>
      </c>
      <c r="J9" s="16">
        <f t="shared" ref="J9:J40" si="7">I9-H9</f>
        <v>25</v>
      </c>
      <c r="K9" s="3">
        <v>12000</v>
      </c>
      <c r="L9" s="3">
        <f t="shared" si="2"/>
        <v>5000</v>
      </c>
      <c r="M9" s="20" t="b">
        <f t="shared" ref="M9:M72" si="8">J9=P9</f>
        <v>1</v>
      </c>
      <c r="O9" s="6" t="str">
        <f t="shared" si="3"/>
        <v>Open</v>
      </c>
      <c r="P9" s="3">
        <f t="shared" si="4"/>
        <v>25</v>
      </c>
      <c r="Q9" s="3">
        <v>200</v>
      </c>
      <c r="R9" s="3">
        <v>200</v>
      </c>
      <c r="S9" s="3">
        <v>200</v>
      </c>
      <c r="T9" s="3">
        <v>200</v>
      </c>
      <c r="U9" s="3">
        <v>200</v>
      </c>
      <c r="V9" s="3">
        <v>200</v>
      </c>
      <c r="W9" s="3">
        <v>200</v>
      </c>
      <c r="X9" s="3">
        <v>200</v>
      </c>
      <c r="Y9" s="3">
        <v>200</v>
      </c>
      <c r="Z9" s="3">
        <v>200</v>
      </c>
      <c r="AA9" s="3">
        <v>200</v>
      </c>
      <c r="AB9" s="3">
        <v>200</v>
      </c>
      <c r="AC9" s="3">
        <v>200</v>
      </c>
      <c r="AD9" s="3">
        <v>200</v>
      </c>
      <c r="AE9" s="3">
        <v>200</v>
      </c>
      <c r="AF9" s="3">
        <v>200</v>
      </c>
      <c r="AG9" s="3">
        <v>200</v>
      </c>
      <c r="AH9" s="3">
        <v>200</v>
      </c>
      <c r="AI9" s="3">
        <v>200</v>
      </c>
      <c r="AJ9" s="3">
        <v>200</v>
      </c>
      <c r="AK9" s="3">
        <v>200</v>
      </c>
      <c r="AL9" s="3">
        <v>200</v>
      </c>
      <c r="AM9" s="3">
        <v>200</v>
      </c>
      <c r="AN9" s="3">
        <v>200</v>
      </c>
      <c r="AO9" s="3">
        <v>200</v>
      </c>
      <c r="AP9" s="3">
        <v>200</v>
      </c>
      <c r="AQ9" s="3">
        <v>200</v>
      </c>
      <c r="AR9" s="3">
        <v>200</v>
      </c>
      <c r="AS9" s="3">
        <v>200</v>
      </c>
      <c r="AT9" s="3">
        <v>200</v>
      </c>
      <c r="AU9" s="3">
        <v>200</v>
      </c>
      <c r="AV9" s="3">
        <v>200</v>
      </c>
      <c r="AW9" s="3">
        <v>200</v>
      </c>
      <c r="AX9" s="3">
        <v>200</v>
      </c>
      <c r="AY9" s="3">
        <v>200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</row>
    <row r="10" spans="1:76" ht="15.6" x14ac:dyDescent="0.3">
      <c r="A10" s="3" t="s">
        <v>70</v>
      </c>
      <c r="B10" s="3" t="s">
        <v>71</v>
      </c>
      <c r="C10" s="3" t="s">
        <v>72</v>
      </c>
      <c r="D10" s="3"/>
      <c r="E10" s="4" t="s">
        <v>75</v>
      </c>
      <c r="F10" s="3"/>
      <c r="G10" s="5">
        <v>46034</v>
      </c>
      <c r="H10" s="17">
        <v>46069</v>
      </c>
      <c r="I10" s="17">
        <f t="shared" si="6"/>
        <v>46094</v>
      </c>
      <c r="J10" s="16">
        <f t="shared" si="7"/>
        <v>25</v>
      </c>
      <c r="K10" s="3">
        <v>12000</v>
      </c>
      <c r="L10" s="3">
        <f t="shared" si="2"/>
        <v>5000</v>
      </c>
      <c r="M10" s="20" t="b">
        <f t="shared" si="8"/>
        <v>1</v>
      </c>
      <c r="O10" s="6" t="str">
        <f t="shared" si="3"/>
        <v>Open</v>
      </c>
      <c r="P10" s="3">
        <f t="shared" si="4"/>
        <v>25</v>
      </c>
      <c r="Q10" s="3">
        <v>200</v>
      </c>
      <c r="R10" s="3">
        <v>200</v>
      </c>
      <c r="S10" s="3">
        <v>200</v>
      </c>
      <c r="T10" s="3">
        <v>200</v>
      </c>
      <c r="U10" s="3">
        <v>200</v>
      </c>
      <c r="V10" s="3">
        <v>200</v>
      </c>
      <c r="W10" s="3">
        <v>200</v>
      </c>
      <c r="X10" s="3">
        <v>200</v>
      </c>
      <c r="Y10" s="3">
        <v>200</v>
      </c>
      <c r="Z10" s="3">
        <v>200</v>
      </c>
      <c r="AA10" s="3">
        <v>200</v>
      </c>
      <c r="AB10" s="3">
        <v>200</v>
      </c>
      <c r="AC10" s="3">
        <v>200</v>
      </c>
      <c r="AD10" s="3">
        <v>200</v>
      </c>
      <c r="AE10" s="3">
        <v>200</v>
      </c>
      <c r="AF10" s="3">
        <v>200</v>
      </c>
      <c r="AG10" s="3">
        <v>200</v>
      </c>
      <c r="AH10" s="3">
        <v>200</v>
      </c>
      <c r="AI10" s="3">
        <v>200</v>
      </c>
      <c r="AJ10" s="3">
        <v>200</v>
      </c>
      <c r="AK10" s="3">
        <v>200</v>
      </c>
      <c r="AL10" s="3">
        <v>200</v>
      </c>
      <c r="AM10" s="3">
        <v>200</v>
      </c>
      <c r="AN10" s="3">
        <v>200</v>
      </c>
      <c r="AO10" s="3">
        <v>200</v>
      </c>
      <c r="AP10" s="3">
        <v>200</v>
      </c>
      <c r="AQ10" s="3">
        <v>200</v>
      </c>
      <c r="AR10" s="3">
        <v>200</v>
      </c>
      <c r="AS10" s="3">
        <v>200</v>
      </c>
      <c r="AT10" s="3">
        <v>200</v>
      </c>
      <c r="AU10" s="3">
        <v>200</v>
      </c>
      <c r="AV10" s="3">
        <v>200</v>
      </c>
      <c r="AW10" s="3">
        <v>200</v>
      </c>
      <c r="AX10" s="3">
        <v>200</v>
      </c>
      <c r="AY10" s="3">
        <v>200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 spans="1:76" ht="15.6" x14ac:dyDescent="0.3">
      <c r="A11" s="3" t="s">
        <v>70</v>
      </c>
      <c r="B11" s="3" t="s">
        <v>71</v>
      </c>
      <c r="C11" s="3" t="s">
        <v>72</v>
      </c>
      <c r="D11" s="3"/>
      <c r="E11" s="4" t="s">
        <v>76</v>
      </c>
      <c r="F11" s="3"/>
      <c r="G11" s="5">
        <v>46034</v>
      </c>
      <c r="H11" s="17">
        <v>46069</v>
      </c>
      <c r="I11" s="17">
        <f t="shared" si="6"/>
        <v>46094</v>
      </c>
      <c r="J11" s="16">
        <f t="shared" si="7"/>
        <v>25</v>
      </c>
      <c r="K11" s="3">
        <v>12000</v>
      </c>
      <c r="L11" s="3">
        <f t="shared" si="2"/>
        <v>5000</v>
      </c>
      <c r="M11" s="20" t="b">
        <f t="shared" si="8"/>
        <v>1</v>
      </c>
      <c r="O11" s="6" t="str">
        <f t="shared" si="3"/>
        <v>Open</v>
      </c>
      <c r="P11" s="3">
        <f t="shared" si="4"/>
        <v>25</v>
      </c>
      <c r="Q11" s="3">
        <v>200</v>
      </c>
      <c r="R11" s="3">
        <v>200</v>
      </c>
      <c r="S11" s="3">
        <v>200</v>
      </c>
      <c r="T11" s="3">
        <v>200</v>
      </c>
      <c r="U11" s="3">
        <v>200</v>
      </c>
      <c r="V11" s="3">
        <v>200</v>
      </c>
      <c r="W11" s="3">
        <v>200</v>
      </c>
      <c r="X11" s="3">
        <v>200</v>
      </c>
      <c r="Y11" s="3">
        <v>200</v>
      </c>
      <c r="Z11" s="3">
        <v>200</v>
      </c>
      <c r="AA11" s="3">
        <v>200</v>
      </c>
      <c r="AB11" s="3">
        <v>200</v>
      </c>
      <c r="AC11" s="3">
        <v>200</v>
      </c>
      <c r="AD11" s="3">
        <v>200</v>
      </c>
      <c r="AE11" s="3">
        <v>200</v>
      </c>
      <c r="AF11" s="3">
        <v>200</v>
      </c>
      <c r="AG11" s="3">
        <v>200</v>
      </c>
      <c r="AH11" s="3">
        <v>200</v>
      </c>
      <c r="AI11" s="3">
        <v>200</v>
      </c>
      <c r="AJ11" s="3">
        <v>200</v>
      </c>
      <c r="AK11" s="3">
        <v>200</v>
      </c>
      <c r="AL11" s="3">
        <v>200</v>
      </c>
      <c r="AM11" s="3">
        <v>200</v>
      </c>
      <c r="AN11" s="3">
        <v>200</v>
      </c>
      <c r="AO11" s="3">
        <v>200</v>
      </c>
      <c r="AP11" s="3">
        <v>200</v>
      </c>
      <c r="AQ11" s="3">
        <v>200</v>
      </c>
      <c r="AR11" s="3">
        <v>200</v>
      </c>
      <c r="AS11" s="3">
        <v>200</v>
      </c>
      <c r="AT11" s="3">
        <v>200</v>
      </c>
      <c r="AU11" s="3">
        <v>200</v>
      </c>
      <c r="AV11" s="3">
        <v>200</v>
      </c>
      <c r="AW11" s="3">
        <v>200</v>
      </c>
      <c r="AX11" s="3">
        <v>200</v>
      </c>
      <c r="AY11" s="3">
        <v>200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</row>
    <row r="12" spans="1:76" ht="15.6" x14ac:dyDescent="0.3">
      <c r="A12" s="3" t="s">
        <v>70</v>
      </c>
      <c r="B12" s="3" t="s">
        <v>71</v>
      </c>
      <c r="C12" s="3" t="s">
        <v>132</v>
      </c>
      <c r="D12" s="3"/>
      <c r="E12" s="4" t="s">
        <v>133</v>
      </c>
      <c r="F12" s="3"/>
      <c r="G12" s="5">
        <v>46034</v>
      </c>
      <c r="H12" s="17">
        <v>46069</v>
      </c>
      <c r="I12" s="17">
        <f t="shared" si="6"/>
        <v>46094</v>
      </c>
      <c r="J12" s="16">
        <f t="shared" si="7"/>
        <v>25</v>
      </c>
      <c r="K12" s="3">
        <v>12000</v>
      </c>
      <c r="L12" s="3">
        <f t="shared" si="2"/>
        <v>5000</v>
      </c>
      <c r="M12" s="20" t="b">
        <f t="shared" si="8"/>
        <v>1</v>
      </c>
      <c r="O12" s="6" t="str">
        <f t="shared" si="3"/>
        <v>Open</v>
      </c>
      <c r="P12" s="3">
        <f t="shared" si="4"/>
        <v>25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200</v>
      </c>
      <c r="W12" s="3">
        <v>200</v>
      </c>
      <c r="X12" s="3">
        <v>200</v>
      </c>
      <c r="Y12" s="3">
        <v>200</v>
      </c>
      <c r="Z12" s="3">
        <v>200</v>
      </c>
      <c r="AA12" s="3">
        <v>200</v>
      </c>
      <c r="AB12" s="3">
        <v>200</v>
      </c>
      <c r="AC12" s="3">
        <v>200</v>
      </c>
      <c r="AD12" s="3">
        <v>200</v>
      </c>
      <c r="AE12" s="3">
        <v>200</v>
      </c>
      <c r="AF12" s="3">
        <v>200</v>
      </c>
      <c r="AG12" s="3">
        <v>200</v>
      </c>
      <c r="AH12" s="3">
        <v>200</v>
      </c>
      <c r="AI12" s="3">
        <v>200</v>
      </c>
      <c r="AJ12" s="3">
        <v>200</v>
      </c>
      <c r="AK12" s="3">
        <v>200</v>
      </c>
      <c r="AL12" s="3">
        <v>200</v>
      </c>
      <c r="AM12" s="3">
        <v>200</v>
      </c>
      <c r="AN12" s="3">
        <v>200</v>
      </c>
      <c r="AO12" s="3">
        <v>200</v>
      </c>
      <c r="AP12" s="3">
        <v>200</v>
      </c>
      <c r="AQ12" s="3">
        <v>200</v>
      </c>
      <c r="AR12" s="3">
        <v>200</v>
      </c>
      <c r="AS12" s="3">
        <v>200</v>
      </c>
      <c r="AT12" s="3">
        <v>200</v>
      </c>
      <c r="AU12" s="3">
        <v>200</v>
      </c>
      <c r="AV12" s="3">
        <v>200</v>
      </c>
      <c r="AW12" s="3">
        <v>200</v>
      </c>
      <c r="AX12" s="3">
        <v>200</v>
      </c>
      <c r="AY12" s="3">
        <v>200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</row>
    <row r="13" spans="1:76" ht="15.6" x14ac:dyDescent="0.3">
      <c r="A13" s="3" t="s">
        <v>70</v>
      </c>
      <c r="B13" s="3" t="s">
        <v>71</v>
      </c>
      <c r="C13" s="3" t="s">
        <v>132</v>
      </c>
      <c r="D13" s="3"/>
      <c r="E13" s="4" t="s">
        <v>134</v>
      </c>
      <c r="F13" s="3"/>
      <c r="G13" s="5">
        <v>46034</v>
      </c>
      <c r="H13" s="17">
        <v>46069</v>
      </c>
      <c r="I13" s="17">
        <f t="shared" si="6"/>
        <v>46094</v>
      </c>
      <c r="J13" s="16">
        <f t="shared" si="7"/>
        <v>25</v>
      </c>
      <c r="K13" s="3">
        <v>12000</v>
      </c>
      <c r="L13" s="3">
        <f t="shared" si="2"/>
        <v>5000</v>
      </c>
      <c r="M13" s="20" t="b">
        <f t="shared" si="8"/>
        <v>1</v>
      </c>
      <c r="O13" s="6" t="str">
        <f t="shared" si="3"/>
        <v>Open</v>
      </c>
      <c r="P13" s="3">
        <f t="shared" si="4"/>
        <v>25</v>
      </c>
      <c r="Q13" s="3">
        <v>200</v>
      </c>
      <c r="R13" s="3">
        <v>200</v>
      </c>
      <c r="S13" s="3">
        <v>200</v>
      </c>
      <c r="T13" s="3">
        <v>200</v>
      </c>
      <c r="U13" s="3">
        <v>200</v>
      </c>
      <c r="V13" s="3">
        <v>200</v>
      </c>
      <c r="W13" s="3">
        <v>200</v>
      </c>
      <c r="X13" s="3">
        <v>200</v>
      </c>
      <c r="Y13" s="3">
        <v>200</v>
      </c>
      <c r="Z13" s="3">
        <v>200</v>
      </c>
      <c r="AA13" s="3">
        <v>200</v>
      </c>
      <c r="AB13" s="3">
        <v>200</v>
      </c>
      <c r="AC13" s="3">
        <v>200</v>
      </c>
      <c r="AD13" s="3">
        <v>200</v>
      </c>
      <c r="AE13" s="3">
        <v>200</v>
      </c>
      <c r="AF13" s="3">
        <v>200</v>
      </c>
      <c r="AG13" s="3">
        <v>200</v>
      </c>
      <c r="AH13" s="3">
        <v>200</v>
      </c>
      <c r="AI13" s="3">
        <v>200</v>
      </c>
      <c r="AJ13" s="3">
        <v>200</v>
      </c>
      <c r="AK13" s="3">
        <v>200</v>
      </c>
      <c r="AL13" s="3">
        <v>200</v>
      </c>
      <c r="AM13" s="3">
        <v>200</v>
      </c>
      <c r="AN13" s="3">
        <v>200</v>
      </c>
      <c r="AO13" s="3">
        <v>200</v>
      </c>
      <c r="AP13" s="3">
        <v>200</v>
      </c>
      <c r="AQ13" s="3">
        <v>200</v>
      </c>
      <c r="AR13" s="3">
        <v>200</v>
      </c>
      <c r="AS13" s="3">
        <v>200</v>
      </c>
      <c r="AT13" s="3">
        <v>200</v>
      </c>
      <c r="AU13" s="3">
        <v>200</v>
      </c>
      <c r="AV13" s="3">
        <v>200</v>
      </c>
      <c r="AW13" s="3">
        <v>200</v>
      </c>
      <c r="AX13" s="3">
        <v>200</v>
      </c>
      <c r="AY13" s="3">
        <v>200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</row>
    <row r="14" spans="1:76" ht="15.6" x14ac:dyDescent="0.3">
      <c r="A14" s="3" t="s">
        <v>70</v>
      </c>
      <c r="B14" s="3" t="s">
        <v>71</v>
      </c>
      <c r="C14" s="3" t="s">
        <v>132</v>
      </c>
      <c r="D14" s="3"/>
      <c r="E14" s="4" t="s">
        <v>130</v>
      </c>
      <c r="F14" s="3"/>
      <c r="G14" s="5">
        <v>46034</v>
      </c>
      <c r="H14" s="17">
        <v>46069</v>
      </c>
      <c r="I14" s="17">
        <f t="shared" si="6"/>
        <v>46094</v>
      </c>
      <c r="J14" s="16">
        <f t="shared" si="7"/>
        <v>25</v>
      </c>
      <c r="K14" s="3">
        <v>12000</v>
      </c>
      <c r="L14" s="3">
        <f t="shared" si="2"/>
        <v>5000</v>
      </c>
      <c r="M14" s="20" t="b">
        <f t="shared" si="8"/>
        <v>1</v>
      </c>
      <c r="O14" s="6" t="str">
        <f t="shared" si="3"/>
        <v>Open</v>
      </c>
      <c r="P14" s="3">
        <f t="shared" si="4"/>
        <v>25</v>
      </c>
      <c r="Q14" s="3">
        <v>200</v>
      </c>
      <c r="R14" s="3">
        <v>200</v>
      </c>
      <c r="S14" s="3">
        <v>200</v>
      </c>
      <c r="T14" s="3">
        <v>200</v>
      </c>
      <c r="U14" s="3">
        <v>200</v>
      </c>
      <c r="V14" s="3">
        <v>200</v>
      </c>
      <c r="W14" s="3">
        <v>200</v>
      </c>
      <c r="X14" s="3">
        <v>200</v>
      </c>
      <c r="Y14" s="3">
        <v>200</v>
      </c>
      <c r="Z14" s="3">
        <v>200</v>
      </c>
      <c r="AA14" s="3">
        <v>200</v>
      </c>
      <c r="AB14" s="3">
        <v>200</v>
      </c>
      <c r="AC14" s="3">
        <v>200</v>
      </c>
      <c r="AD14" s="3">
        <v>200</v>
      </c>
      <c r="AE14" s="3">
        <v>200</v>
      </c>
      <c r="AF14" s="3">
        <v>200</v>
      </c>
      <c r="AG14" s="3">
        <v>200</v>
      </c>
      <c r="AH14" s="3">
        <v>200</v>
      </c>
      <c r="AI14" s="3">
        <v>200</v>
      </c>
      <c r="AJ14" s="3">
        <v>200</v>
      </c>
      <c r="AK14" s="3">
        <v>200</v>
      </c>
      <c r="AL14" s="3">
        <v>200</v>
      </c>
      <c r="AM14" s="3">
        <v>200</v>
      </c>
      <c r="AN14" s="3">
        <v>200</v>
      </c>
      <c r="AO14" s="3">
        <v>200</v>
      </c>
      <c r="AP14" s="3">
        <v>200</v>
      </c>
      <c r="AQ14" s="3">
        <v>200</v>
      </c>
      <c r="AR14" s="3">
        <v>200</v>
      </c>
      <c r="AS14" s="3">
        <v>200</v>
      </c>
      <c r="AT14" s="3">
        <v>200</v>
      </c>
      <c r="AU14" s="3">
        <v>200</v>
      </c>
      <c r="AV14" s="3">
        <v>200</v>
      </c>
      <c r="AW14" s="3">
        <v>200</v>
      </c>
      <c r="AX14" s="3">
        <v>200</v>
      </c>
      <c r="AY14" s="3">
        <v>200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 ht="15.6" x14ac:dyDescent="0.3">
      <c r="A15" s="3" t="s">
        <v>70</v>
      </c>
      <c r="B15" s="3" t="s">
        <v>71</v>
      </c>
      <c r="C15" s="3" t="s">
        <v>132</v>
      </c>
      <c r="D15" s="3"/>
      <c r="E15" s="4" t="s">
        <v>135</v>
      </c>
      <c r="F15" s="3"/>
      <c r="G15" s="5">
        <v>46034</v>
      </c>
      <c r="H15" s="17">
        <v>46069</v>
      </c>
      <c r="I15" s="17">
        <f t="shared" si="6"/>
        <v>46094</v>
      </c>
      <c r="J15" s="16">
        <f t="shared" si="7"/>
        <v>25</v>
      </c>
      <c r="K15" s="3">
        <v>12000</v>
      </c>
      <c r="L15" s="3">
        <f t="shared" si="2"/>
        <v>5000</v>
      </c>
      <c r="M15" s="20" t="b">
        <f t="shared" si="8"/>
        <v>1</v>
      </c>
      <c r="O15" s="6" t="str">
        <f t="shared" si="3"/>
        <v>Open</v>
      </c>
      <c r="P15" s="3">
        <f t="shared" si="4"/>
        <v>25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  <c r="AR15" s="3">
        <v>200</v>
      </c>
      <c r="AS15" s="3">
        <v>200</v>
      </c>
      <c r="AT15" s="3">
        <v>200</v>
      </c>
      <c r="AU15" s="3">
        <v>200</v>
      </c>
      <c r="AV15" s="3">
        <v>200</v>
      </c>
      <c r="AW15" s="3">
        <v>200</v>
      </c>
      <c r="AX15" s="3">
        <v>200</v>
      </c>
      <c r="AY15" s="3">
        <v>200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 ht="15.6" x14ac:dyDescent="0.3">
      <c r="A16" s="3" t="s">
        <v>70</v>
      </c>
      <c r="B16" s="3" t="s">
        <v>71</v>
      </c>
      <c r="C16" s="3" t="s">
        <v>132</v>
      </c>
      <c r="D16" s="3"/>
      <c r="E16" s="4" t="s">
        <v>117</v>
      </c>
      <c r="F16" s="3"/>
      <c r="G16" s="5">
        <v>46034</v>
      </c>
      <c r="H16" s="17">
        <v>46069</v>
      </c>
      <c r="I16" s="17">
        <f t="shared" si="6"/>
        <v>46094</v>
      </c>
      <c r="J16" s="16">
        <f t="shared" si="7"/>
        <v>25</v>
      </c>
      <c r="K16" s="3">
        <v>12000</v>
      </c>
      <c r="L16" s="3">
        <f t="shared" si="2"/>
        <v>5000</v>
      </c>
      <c r="M16" s="20" t="b">
        <f t="shared" si="8"/>
        <v>1</v>
      </c>
      <c r="O16" s="6" t="str">
        <f t="shared" si="3"/>
        <v>Open</v>
      </c>
      <c r="P16" s="3">
        <f t="shared" si="4"/>
        <v>25</v>
      </c>
      <c r="Q16" s="3">
        <v>200</v>
      </c>
      <c r="R16" s="3">
        <v>200</v>
      </c>
      <c r="S16" s="3">
        <v>200</v>
      </c>
      <c r="T16" s="3">
        <v>200</v>
      </c>
      <c r="U16" s="3">
        <v>200</v>
      </c>
      <c r="V16" s="3">
        <v>200</v>
      </c>
      <c r="W16" s="3">
        <v>200</v>
      </c>
      <c r="X16" s="3">
        <v>200</v>
      </c>
      <c r="Y16" s="3">
        <v>200</v>
      </c>
      <c r="Z16" s="3">
        <v>200</v>
      </c>
      <c r="AA16" s="3">
        <v>200</v>
      </c>
      <c r="AB16" s="3">
        <v>200</v>
      </c>
      <c r="AC16" s="3">
        <v>200</v>
      </c>
      <c r="AD16" s="3">
        <v>200</v>
      </c>
      <c r="AE16" s="3">
        <v>200</v>
      </c>
      <c r="AF16" s="3">
        <v>200</v>
      </c>
      <c r="AG16" s="3">
        <v>200</v>
      </c>
      <c r="AH16" s="3">
        <v>200</v>
      </c>
      <c r="AI16" s="3">
        <v>200</v>
      </c>
      <c r="AJ16" s="3">
        <v>200</v>
      </c>
      <c r="AK16" s="3">
        <v>200</v>
      </c>
      <c r="AL16" s="3">
        <v>200</v>
      </c>
      <c r="AM16" s="3">
        <v>200</v>
      </c>
      <c r="AN16" s="3">
        <v>200</v>
      </c>
      <c r="AO16" s="3">
        <v>200</v>
      </c>
      <c r="AP16" s="3">
        <v>200</v>
      </c>
      <c r="AQ16" s="3">
        <v>200</v>
      </c>
      <c r="AR16" s="3">
        <v>200</v>
      </c>
      <c r="AS16" s="3">
        <v>200</v>
      </c>
      <c r="AT16" s="3">
        <v>200</v>
      </c>
      <c r="AU16" s="3">
        <v>200</v>
      </c>
      <c r="AV16" s="3">
        <v>200</v>
      </c>
      <c r="AW16" s="3">
        <v>200</v>
      </c>
      <c r="AX16" s="3">
        <v>200</v>
      </c>
      <c r="AY16" s="3">
        <v>200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1:76" ht="15.6" x14ac:dyDescent="0.3">
      <c r="A17" s="3" t="s">
        <v>70</v>
      </c>
      <c r="B17" s="3" t="s">
        <v>71</v>
      </c>
      <c r="C17" s="3" t="s">
        <v>132</v>
      </c>
      <c r="D17" s="3"/>
      <c r="E17" s="4" t="s">
        <v>136</v>
      </c>
      <c r="F17" s="3"/>
      <c r="G17" s="5">
        <v>46034</v>
      </c>
      <c r="H17" s="17">
        <v>46069</v>
      </c>
      <c r="I17" s="17">
        <f t="shared" si="6"/>
        <v>46094</v>
      </c>
      <c r="J17" s="16">
        <f t="shared" si="7"/>
        <v>25</v>
      </c>
      <c r="K17" s="3">
        <v>6000</v>
      </c>
      <c r="L17" s="3">
        <f t="shared" si="2"/>
        <v>2500</v>
      </c>
      <c r="M17" s="20" t="b">
        <f t="shared" si="8"/>
        <v>1</v>
      </c>
      <c r="O17" s="6" t="str">
        <f t="shared" si="3"/>
        <v>Open</v>
      </c>
      <c r="P17" s="3">
        <f t="shared" si="4"/>
        <v>25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  <c r="AH17" s="3">
        <v>100</v>
      </c>
      <c r="AI17" s="3">
        <v>100</v>
      </c>
      <c r="AJ17" s="3">
        <v>100</v>
      </c>
      <c r="AK17" s="3">
        <v>100</v>
      </c>
      <c r="AL17" s="3">
        <v>100</v>
      </c>
      <c r="AM17" s="3">
        <v>100</v>
      </c>
      <c r="AN17" s="3">
        <v>100</v>
      </c>
      <c r="AO17" s="3">
        <v>100</v>
      </c>
      <c r="AP17" s="3">
        <v>100</v>
      </c>
      <c r="AQ17" s="3">
        <v>100</v>
      </c>
      <c r="AR17" s="3">
        <v>100</v>
      </c>
      <c r="AS17" s="3">
        <v>100</v>
      </c>
      <c r="AT17" s="3">
        <v>100</v>
      </c>
      <c r="AU17" s="3">
        <v>100</v>
      </c>
      <c r="AV17" s="3">
        <v>100</v>
      </c>
      <c r="AW17" s="3">
        <v>100</v>
      </c>
      <c r="AX17" s="3">
        <v>100</v>
      </c>
      <c r="AY17" s="3">
        <v>100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1:76" ht="15.6" x14ac:dyDescent="0.3">
      <c r="A18" s="3" t="s">
        <v>70</v>
      </c>
      <c r="B18" s="3" t="s">
        <v>71</v>
      </c>
      <c r="C18" s="3" t="s">
        <v>132</v>
      </c>
      <c r="D18" s="3"/>
      <c r="E18" s="4" t="s">
        <v>137</v>
      </c>
      <c r="F18" s="3"/>
      <c r="G18" s="5">
        <v>46034</v>
      </c>
      <c r="H18" s="17">
        <v>46069</v>
      </c>
      <c r="I18" s="17">
        <f t="shared" si="6"/>
        <v>46094</v>
      </c>
      <c r="J18" s="16">
        <f t="shared" si="7"/>
        <v>25</v>
      </c>
      <c r="K18" s="3">
        <v>6000</v>
      </c>
      <c r="L18" s="3">
        <f t="shared" si="2"/>
        <v>2500</v>
      </c>
      <c r="M18" s="20" t="b">
        <f t="shared" si="8"/>
        <v>1</v>
      </c>
      <c r="O18" s="6" t="str">
        <f t="shared" si="3"/>
        <v>Open</v>
      </c>
      <c r="P18" s="3">
        <f t="shared" si="4"/>
        <v>25</v>
      </c>
      <c r="Q18" s="3">
        <v>100</v>
      </c>
      <c r="R18" s="3">
        <v>100</v>
      </c>
      <c r="S18" s="3">
        <v>100</v>
      </c>
      <c r="T18" s="3">
        <v>100</v>
      </c>
      <c r="U18" s="3">
        <v>100</v>
      </c>
      <c r="V18" s="3">
        <v>100</v>
      </c>
      <c r="W18" s="3">
        <v>100</v>
      </c>
      <c r="X18" s="3">
        <v>100</v>
      </c>
      <c r="Y18" s="3">
        <v>100</v>
      </c>
      <c r="Z18" s="3">
        <v>100</v>
      </c>
      <c r="AA18" s="3">
        <v>100</v>
      </c>
      <c r="AB18" s="3">
        <v>100</v>
      </c>
      <c r="AC18" s="3">
        <v>100</v>
      </c>
      <c r="AD18" s="3">
        <v>100</v>
      </c>
      <c r="AE18" s="3">
        <v>100</v>
      </c>
      <c r="AF18" s="3">
        <v>100</v>
      </c>
      <c r="AG18" s="3">
        <v>100</v>
      </c>
      <c r="AH18" s="3">
        <v>100</v>
      </c>
      <c r="AI18" s="3">
        <v>100</v>
      </c>
      <c r="AJ18" s="3">
        <v>100</v>
      </c>
      <c r="AK18" s="3">
        <v>100</v>
      </c>
      <c r="AL18" s="3">
        <v>100</v>
      </c>
      <c r="AM18" s="3">
        <v>100</v>
      </c>
      <c r="AN18" s="3">
        <v>100</v>
      </c>
      <c r="AO18" s="3">
        <v>100</v>
      </c>
      <c r="AP18" s="3">
        <v>100</v>
      </c>
      <c r="AQ18" s="3">
        <v>100</v>
      </c>
      <c r="AR18" s="3">
        <v>100</v>
      </c>
      <c r="AS18" s="3">
        <v>100</v>
      </c>
      <c r="AT18" s="3">
        <v>100</v>
      </c>
      <c r="AU18" s="3">
        <v>100</v>
      </c>
      <c r="AV18" s="3">
        <v>100</v>
      </c>
      <c r="AW18" s="3">
        <v>100</v>
      </c>
      <c r="AX18" s="3">
        <v>100</v>
      </c>
      <c r="AY18" s="3">
        <v>100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1:76" ht="15.6" x14ac:dyDescent="0.3">
      <c r="A19" s="3" t="s">
        <v>70</v>
      </c>
      <c r="B19" s="3" t="s">
        <v>71</v>
      </c>
      <c r="C19" s="3" t="s">
        <v>144</v>
      </c>
      <c r="D19" s="3"/>
      <c r="E19" s="4" t="s">
        <v>91</v>
      </c>
      <c r="F19" s="3"/>
      <c r="G19" s="5">
        <v>46035</v>
      </c>
      <c r="H19" s="17">
        <v>46069</v>
      </c>
      <c r="I19" s="17">
        <f t="shared" si="6"/>
        <v>46095</v>
      </c>
      <c r="J19" s="16">
        <f t="shared" si="7"/>
        <v>26</v>
      </c>
      <c r="K19" s="3">
        <v>12000</v>
      </c>
      <c r="L19" s="3">
        <f t="shared" si="2"/>
        <v>5200</v>
      </c>
      <c r="M19" s="20" t="b">
        <f t="shared" si="8"/>
        <v>1</v>
      </c>
      <c r="O19" s="6" t="str">
        <f t="shared" si="3"/>
        <v>Open</v>
      </c>
      <c r="P19" s="3">
        <f t="shared" si="4"/>
        <v>26</v>
      </c>
      <c r="Q19" s="3">
        <v>200</v>
      </c>
      <c r="R19" s="3">
        <v>200</v>
      </c>
      <c r="S19" s="3">
        <v>200</v>
      </c>
      <c r="T19" s="3">
        <v>200</v>
      </c>
      <c r="U19" s="3">
        <v>200</v>
      </c>
      <c r="V19" s="3">
        <v>200</v>
      </c>
      <c r="W19" s="3">
        <v>200</v>
      </c>
      <c r="X19" s="3">
        <v>200</v>
      </c>
      <c r="Y19" s="3">
        <v>200</v>
      </c>
      <c r="Z19" s="3">
        <v>200</v>
      </c>
      <c r="AA19" s="3">
        <v>200</v>
      </c>
      <c r="AB19" s="3">
        <v>200</v>
      </c>
      <c r="AC19" s="3">
        <v>200</v>
      </c>
      <c r="AD19" s="3">
        <v>200</v>
      </c>
      <c r="AE19" s="3">
        <v>200</v>
      </c>
      <c r="AF19" s="3">
        <v>200</v>
      </c>
      <c r="AG19" s="3">
        <v>200</v>
      </c>
      <c r="AH19" s="3">
        <v>200</v>
      </c>
      <c r="AI19" s="3">
        <v>200</v>
      </c>
      <c r="AJ19" s="3">
        <v>200</v>
      </c>
      <c r="AK19" s="3">
        <v>200</v>
      </c>
      <c r="AL19" s="3">
        <v>200</v>
      </c>
      <c r="AM19" s="3">
        <v>200</v>
      </c>
      <c r="AN19" s="3">
        <v>200</v>
      </c>
      <c r="AO19" s="3">
        <v>200</v>
      </c>
      <c r="AP19" s="3">
        <v>200</v>
      </c>
      <c r="AQ19" s="3">
        <v>200</v>
      </c>
      <c r="AR19" s="3">
        <v>200</v>
      </c>
      <c r="AS19" s="3">
        <v>200</v>
      </c>
      <c r="AT19" s="3">
        <v>200</v>
      </c>
      <c r="AU19" s="3">
        <v>200</v>
      </c>
      <c r="AV19" s="3">
        <v>200</v>
      </c>
      <c r="AW19" s="3">
        <v>200</v>
      </c>
      <c r="AX19" s="3">
        <v>200</v>
      </c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1:76" ht="15.6" x14ac:dyDescent="0.3">
      <c r="A20" s="3" t="s">
        <v>70</v>
      </c>
      <c r="B20" s="3" t="s">
        <v>71</v>
      </c>
      <c r="C20" s="3" t="s">
        <v>132</v>
      </c>
      <c r="D20" s="3"/>
      <c r="E20" s="4" t="s">
        <v>138</v>
      </c>
      <c r="F20" s="3"/>
      <c r="G20" s="5">
        <v>46038</v>
      </c>
      <c r="H20" s="17">
        <v>46069</v>
      </c>
      <c r="I20" s="17">
        <f t="shared" si="6"/>
        <v>46098</v>
      </c>
      <c r="J20" s="16">
        <f t="shared" si="7"/>
        <v>29</v>
      </c>
      <c r="K20" s="3">
        <v>12000</v>
      </c>
      <c r="L20" s="3">
        <f t="shared" si="2"/>
        <v>5800</v>
      </c>
      <c r="M20" s="20" t="b">
        <f t="shared" si="8"/>
        <v>1</v>
      </c>
      <c r="O20" s="6" t="str">
        <f t="shared" si="3"/>
        <v>Open</v>
      </c>
      <c r="P20" s="3">
        <f t="shared" si="4"/>
        <v>29</v>
      </c>
      <c r="Q20" s="3">
        <v>200</v>
      </c>
      <c r="R20" s="3">
        <v>200</v>
      </c>
      <c r="S20" s="3">
        <v>200</v>
      </c>
      <c r="T20" s="3">
        <v>200</v>
      </c>
      <c r="U20" s="3">
        <v>200</v>
      </c>
      <c r="V20" s="3">
        <v>200</v>
      </c>
      <c r="W20" s="3">
        <v>200</v>
      </c>
      <c r="X20" s="3">
        <v>200</v>
      </c>
      <c r="Y20" s="3">
        <v>200</v>
      </c>
      <c r="Z20" s="3">
        <v>200</v>
      </c>
      <c r="AA20" s="3">
        <v>200</v>
      </c>
      <c r="AB20" s="3">
        <v>200</v>
      </c>
      <c r="AC20" s="3">
        <v>200</v>
      </c>
      <c r="AD20" s="3">
        <v>200</v>
      </c>
      <c r="AE20" s="3">
        <v>200</v>
      </c>
      <c r="AF20" s="3">
        <v>200</v>
      </c>
      <c r="AG20" s="3">
        <v>200</v>
      </c>
      <c r="AH20" s="3">
        <v>200</v>
      </c>
      <c r="AI20" s="3">
        <v>200</v>
      </c>
      <c r="AJ20" s="3">
        <v>200</v>
      </c>
      <c r="AK20" s="3">
        <v>200</v>
      </c>
      <c r="AL20" s="3">
        <v>200</v>
      </c>
      <c r="AM20" s="3">
        <v>200</v>
      </c>
      <c r="AN20" s="3">
        <v>200</v>
      </c>
      <c r="AO20" s="3">
        <v>200</v>
      </c>
      <c r="AP20" s="3">
        <v>200</v>
      </c>
      <c r="AQ20" s="3">
        <v>200</v>
      </c>
      <c r="AR20" s="3">
        <v>200</v>
      </c>
      <c r="AS20" s="3">
        <v>200</v>
      </c>
      <c r="AT20" s="3">
        <v>200</v>
      </c>
      <c r="AU20" s="3">
        <v>200</v>
      </c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1:76" ht="15.6" x14ac:dyDescent="0.3">
      <c r="A21" s="3" t="s">
        <v>70</v>
      </c>
      <c r="B21" s="3" t="s">
        <v>71</v>
      </c>
      <c r="C21" s="3" t="s">
        <v>70</v>
      </c>
      <c r="D21" s="3"/>
      <c r="E21" s="4" t="s">
        <v>83</v>
      </c>
      <c r="F21" s="3"/>
      <c r="G21" s="5">
        <v>46039</v>
      </c>
      <c r="H21" s="17">
        <v>46069</v>
      </c>
      <c r="I21" s="17">
        <f t="shared" si="6"/>
        <v>46099</v>
      </c>
      <c r="J21" s="16">
        <f t="shared" si="7"/>
        <v>30</v>
      </c>
      <c r="K21" s="3">
        <v>12000</v>
      </c>
      <c r="L21" s="3">
        <f t="shared" si="2"/>
        <v>6000</v>
      </c>
      <c r="M21" s="20" t="b">
        <f t="shared" si="8"/>
        <v>1</v>
      </c>
      <c r="O21" s="6" t="str">
        <f t="shared" si="3"/>
        <v>Open</v>
      </c>
      <c r="P21" s="3">
        <f t="shared" si="4"/>
        <v>30</v>
      </c>
      <c r="Q21" s="3">
        <v>200</v>
      </c>
      <c r="R21" s="3">
        <v>200</v>
      </c>
      <c r="S21" s="3">
        <v>200</v>
      </c>
      <c r="T21" s="3">
        <v>200</v>
      </c>
      <c r="U21" s="3">
        <v>200</v>
      </c>
      <c r="V21" s="3">
        <v>200</v>
      </c>
      <c r="W21" s="3">
        <v>200</v>
      </c>
      <c r="X21" s="3">
        <v>200</v>
      </c>
      <c r="Y21" s="3">
        <v>200</v>
      </c>
      <c r="Z21" s="3">
        <v>200</v>
      </c>
      <c r="AA21" s="3">
        <v>200</v>
      </c>
      <c r="AB21" s="3">
        <v>200</v>
      </c>
      <c r="AC21" s="3">
        <v>200</v>
      </c>
      <c r="AD21" s="3">
        <v>200</v>
      </c>
      <c r="AE21" s="3">
        <v>200</v>
      </c>
      <c r="AF21" s="3">
        <v>200</v>
      </c>
      <c r="AG21" s="3">
        <v>200</v>
      </c>
      <c r="AH21" s="3">
        <v>200</v>
      </c>
      <c r="AI21" s="3">
        <v>200</v>
      </c>
      <c r="AJ21" s="3">
        <v>200</v>
      </c>
      <c r="AK21" s="3">
        <v>200</v>
      </c>
      <c r="AL21" s="3">
        <v>200</v>
      </c>
      <c r="AM21" s="3">
        <v>200</v>
      </c>
      <c r="AN21" s="3">
        <v>200</v>
      </c>
      <c r="AO21" s="3">
        <v>200</v>
      </c>
      <c r="AP21" s="3">
        <v>200</v>
      </c>
      <c r="AQ21" s="3">
        <v>200</v>
      </c>
      <c r="AR21" s="3">
        <v>200</v>
      </c>
      <c r="AS21" s="3">
        <v>200</v>
      </c>
      <c r="AT21" s="3">
        <v>200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1:76" ht="15.6" x14ac:dyDescent="0.3">
      <c r="A22" s="3" t="s">
        <v>70</v>
      </c>
      <c r="B22" s="3" t="s">
        <v>71</v>
      </c>
      <c r="C22" s="3" t="s">
        <v>70</v>
      </c>
      <c r="D22" s="3"/>
      <c r="E22" s="4" t="s">
        <v>84</v>
      </c>
      <c r="F22" s="3"/>
      <c r="G22" s="5">
        <v>46039</v>
      </c>
      <c r="H22" s="17">
        <v>46069</v>
      </c>
      <c r="I22" s="17">
        <f t="shared" si="6"/>
        <v>46099</v>
      </c>
      <c r="J22" s="16">
        <f t="shared" si="7"/>
        <v>30</v>
      </c>
      <c r="K22" s="3">
        <v>6000</v>
      </c>
      <c r="L22" s="3">
        <f t="shared" si="2"/>
        <v>0</v>
      </c>
      <c r="M22" s="20" t="b">
        <f t="shared" si="8"/>
        <v>0</v>
      </c>
      <c r="N22" s="2" t="s">
        <v>298</v>
      </c>
      <c r="O22" s="6" t="str">
        <f t="shared" si="3"/>
        <v>Closed</v>
      </c>
      <c r="P22" s="3">
        <f t="shared" si="4"/>
        <v>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  <c r="AR22" s="3">
        <v>100</v>
      </c>
      <c r="AS22" s="3">
        <v>100</v>
      </c>
      <c r="AT22" s="3">
        <v>100</v>
      </c>
      <c r="AU22" s="3">
        <v>100</v>
      </c>
      <c r="AV22" s="3">
        <v>100</v>
      </c>
      <c r="AW22" s="3">
        <v>100</v>
      </c>
      <c r="AX22" s="3">
        <v>100</v>
      </c>
      <c r="AY22" s="3">
        <v>100</v>
      </c>
      <c r="AZ22" s="3">
        <v>100</v>
      </c>
      <c r="BA22" s="3">
        <v>100</v>
      </c>
      <c r="BB22" s="3">
        <v>100</v>
      </c>
      <c r="BC22" s="3">
        <v>100</v>
      </c>
      <c r="BD22" s="3">
        <v>100</v>
      </c>
      <c r="BE22" s="3">
        <v>100</v>
      </c>
      <c r="BF22" s="3">
        <v>100</v>
      </c>
      <c r="BG22" s="3">
        <v>100</v>
      </c>
      <c r="BH22" s="3">
        <v>100</v>
      </c>
      <c r="BI22" s="3">
        <v>100</v>
      </c>
      <c r="BJ22" s="3">
        <v>100</v>
      </c>
      <c r="BK22" s="3">
        <v>100</v>
      </c>
      <c r="BL22" s="3">
        <v>100</v>
      </c>
      <c r="BM22" s="3">
        <v>100</v>
      </c>
      <c r="BN22" s="3">
        <v>100</v>
      </c>
      <c r="BO22" s="3">
        <v>100</v>
      </c>
      <c r="BP22" s="3">
        <v>100</v>
      </c>
      <c r="BQ22" s="3">
        <v>100</v>
      </c>
      <c r="BR22" s="3">
        <v>100</v>
      </c>
      <c r="BS22" s="3">
        <v>100</v>
      </c>
      <c r="BT22" s="3">
        <v>100</v>
      </c>
      <c r="BU22" s="3">
        <v>100</v>
      </c>
      <c r="BV22" s="3">
        <v>100</v>
      </c>
      <c r="BW22" s="3">
        <v>100</v>
      </c>
      <c r="BX22" s="3">
        <v>100</v>
      </c>
    </row>
    <row r="23" spans="1:76" ht="15.6" x14ac:dyDescent="0.3">
      <c r="A23" s="3" t="s">
        <v>70</v>
      </c>
      <c r="B23" s="3" t="s">
        <v>71</v>
      </c>
      <c r="C23" s="3" t="s">
        <v>70</v>
      </c>
      <c r="D23" s="3"/>
      <c r="E23" s="4" t="s">
        <v>85</v>
      </c>
      <c r="F23" s="3"/>
      <c r="G23" s="5">
        <v>46039</v>
      </c>
      <c r="H23" s="17">
        <v>46069</v>
      </c>
      <c r="I23" s="17">
        <f t="shared" si="6"/>
        <v>46099</v>
      </c>
      <c r="J23" s="16">
        <f t="shared" si="7"/>
        <v>30</v>
      </c>
      <c r="K23" s="3">
        <v>6000</v>
      </c>
      <c r="L23" s="3">
        <f t="shared" si="2"/>
        <v>3000</v>
      </c>
      <c r="M23" s="20" t="b">
        <f t="shared" si="8"/>
        <v>1</v>
      </c>
      <c r="O23" s="6" t="str">
        <f t="shared" si="3"/>
        <v>Open</v>
      </c>
      <c r="P23" s="3">
        <f t="shared" si="4"/>
        <v>30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100</v>
      </c>
      <c r="W23" s="3">
        <v>100</v>
      </c>
      <c r="X23" s="3">
        <v>100</v>
      </c>
      <c r="Y23" s="3">
        <v>100</v>
      </c>
      <c r="Z23" s="3">
        <v>100</v>
      </c>
      <c r="AA23" s="3">
        <v>100</v>
      </c>
      <c r="AB23" s="3">
        <v>100</v>
      </c>
      <c r="AC23" s="3">
        <v>100</v>
      </c>
      <c r="AD23" s="3">
        <v>100</v>
      </c>
      <c r="AE23" s="3">
        <v>100</v>
      </c>
      <c r="AF23" s="3">
        <v>100</v>
      </c>
      <c r="AG23" s="3">
        <v>100</v>
      </c>
      <c r="AH23" s="3">
        <v>100</v>
      </c>
      <c r="AI23" s="3">
        <v>100</v>
      </c>
      <c r="AJ23" s="3">
        <v>100</v>
      </c>
      <c r="AK23" s="3">
        <v>100</v>
      </c>
      <c r="AL23" s="3">
        <v>100</v>
      </c>
      <c r="AM23" s="3">
        <v>100</v>
      </c>
      <c r="AN23" s="3">
        <v>100</v>
      </c>
      <c r="AO23" s="3">
        <v>100</v>
      </c>
      <c r="AP23" s="3">
        <v>100</v>
      </c>
      <c r="AQ23" s="3">
        <v>100</v>
      </c>
      <c r="AR23" s="3">
        <v>100</v>
      </c>
      <c r="AS23" s="3">
        <v>100</v>
      </c>
      <c r="AT23" s="3">
        <v>100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1:76" ht="15.6" x14ac:dyDescent="0.3">
      <c r="A24" s="3" t="s">
        <v>70</v>
      </c>
      <c r="B24" s="3" t="s">
        <v>71</v>
      </c>
      <c r="C24" s="3" t="s">
        <v>70</v>
      </c>
      <c r="D24" s="3"/>
      <c r="E24" s="4" t="s">
        <v>86</v>
      </c>
      <c r="F24" s="3"/>
      <c r="G24" s="5">
        <v>46039</v>
      </c>
      <c r="H24" s="17">
        <v>46069</v>
      </c>
      <c r="I24" s="17">
        <f t="shared" si="6"/>
        <v>46099</v>
      </c>
      <c r="J24" s="16">
        <f t="shared" si="7"/>
        <v>30</v>
      </c>
      <c r="K24" s="3">
        <v>6000</v>
      </c>
      <c r="L24" s="3">
        <f t="shared" si="2"/>
        <v>3000</v>
      </c>
      <c r="M24" s="20" t="b">
        <f t="shared" si="8"/>
        <v>1</v>
      </c>
      <c r="O24" s="6" t="str">
        <f t="shared" si="3"/>
        <v>Open</v>
      </c>
      <c r="P24" s="3">
        <f t="shared" si="4"/>
        <v>30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100</v>
      </c>
      <c r="AK24" s="3">
        <v>100</v>
      </c>
      <c r="AL24" s="3">
        <v>100</v>
      </c>
      <c r="AM24" s="3">
        <v>100</v>
      </c>
      <c r="AN24" s="3">
        <v>100</v>
      </c>
      <c r="AO24" s="3">
        <v>100</v>
      </c>
      <c r="AP24" s="3">
        <v>100</v>
      </c>
      <c r="AQ24" s="3">
        <v>100</v>
      </c>
      <c r="AR24" s="3">
        <v>100</v>
      </c>
      <c r="AS24" s="3">
        <v>100</v>
      </c>
      <c r="AT24" s="3">
        <v>100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1:76" ht="15.6" x14ac:dyDescent="0.3">
      <c r="A25" s="3" t="s">
        <v>70</v>
      </c>
      <c r="B25" s="3" t="s">
        <v>71</v>
      </c>
      <c r="C25" s="3" t="s">
        <v>70</v>
      </c>
      <c r="D25" s="3"/>
      <c r="E25" s="4" t="s">
        <v>87</v>
      </c>
      <c r="F25" s="3"/>
      <c r="G25" s="5">
        <v>46039</v>
      </c>
      <c r="H25" s="17">
        <v>46069</v>
      </c>
      <c r="I25" s="17">
        <f t="shared" si="6"/>
        <v>46099</v>
      </c>
      <c r="J25" s="16">
        <f t="shared" si="7"/>
        <v>30</v>
      </c>
      <c r="K25" s="3">
        <v>12000</v>
      </c>
      <c r="L25" s="3">
        <f t="shared" si="2"/>
        <v>6000</v>
      </c>
      <c r="M25" s="20" t="b">
        <f t="shared" si="8"/>
        <v>1</v>
      </c>
      <c r="O25" s="6" t="str">
        <f t="shared" si="3"/>
        <v>Open</v>
      </c>
      <c r="P25" s="3">
        <f t="shared" si="4"/>
        <v>30</v>
      </c>
      <c r="Q25" s="3">
        <v>200</v>
      </c>
      <c r="R25" s="3">
        <v>200</v>
      </c>
      <c r="S25" s="3">
        <v>200</v>
      </c>
      <c r="T25" s="3">
        <v>200</v>
      </c>
      <c r="U25" s="3">
        <v>200</v>
      </c>
      <c r="V25" s="3">
        <v>200</v>
      </c>
      <c r="W25" s="3">
        <v>200</v>
      </c>
      <c r="X25" s="3">
        <v>200</v>
      </c>
      <c r="Y25" s="3">
        <v>200</v>
      </c>
      <c r="Z25" s="3">
        <v>200</v>
      </c>
      <c r="AA25" s="3">
        <v>200</v>
      </c>
      <c r="AB25" s="3">
        <v>200</v>
      </c>
      <c r="AC25" s="3">
        <v>200</v>
      </c>
      <c r="AD25" s="3">
        <v>200</v>
      </c>
      <c r="AE25" s="3">
        <v>200</v>
      </c>
      <c r="AF25" s="3">
        <v>200</v>
      </c>
      <c r="AG25" s="3">
        <v>200</v>
      </c>
      <c r="AH25" s="3">
        <v>200</v>
      </c>
      <c r="AI25" s="3">
        <v>200</v>
      </c>
      <c r="AJ25" s="3">
        <v>200</v>
      </c>
      <c r="AK25" s="3">
        <v>200</v>
      </c>
      <c r="AL25" s="3">
        <v>200</v>
      </c>
      <c r="AM25" s="3">
        <v>200</v>
      </c>
      <c r="AN25" s="3">
        <v>200</v>
      </c>
      <c r="AO25" s="3">
        <v>200</v>
      </c>
      <c r="AP25" s="3">
        <v>200</v>
      </c>
      <c r="AQ25" s="3">
        <v>200</v>
      </c>
      <c r="AR25" s="3">
        <v>200</v>
      </c>
      <c r="AS25" s="3">
        <v>200</v>
      </c>
      <c r="AT25" s="3">
        <v>200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1:76" ht="15.6" x14ac:dyDescent="0.3">
      <c r="A26" s="3" t="s">
        <v>70</v>
      </c>
      <c r="B26" s="3" t="s">
        <v>71</v>
      </c>
      <c r="C26" s="3" t="s">
        <v>144</v>
      </c>
      <c r="D26" s="3"/>
      <c r="E26" s="4" t="s">
        <v>148</v>
      </c>
      <c r="F26" s="3"/>
      <c r="G26" s="5">
        <v>46039</v>
      </c>
      <c r="H26" s="17">
        <v>46069</v>
      </c>
      <c r="I26" s="17">
        <f t="shared" si="6"/>
        <v>46099</v>
      </c>
      <c r="J26" s="16">
        <f t="shared" si="7"/>
        <v>30</v>
      </c>
      <c r="K26" s="3">
        <v>12000</v>
      </c>
      <c r="L26" s="3">
        <f t="shared" si="2"/>
        <v>6000</v>
      </c>
      <c r="M26" s="20" t="b">
        <f t="shared" si="8"/>
        <v>1</v>
      </c>
      <c r="O26" s="6" t="str">
        <f t="shared" si="3"/>
        <v>Open</v>
      </c>
      <c r="P26" s="3">
        <f t="shared" si="4"/>
        <v>30</v>
      </c>
      <c r="Q26" s="3">
        <v>200</v>
      </c>
      <c r="R26" s="3">
        <v>200</v>
      </c>
      <c r="S26" s="3">
        <v>200</v>
      </c>
      <c r="T26" s="3">
        <v>200</v>
      </c>
      <c r="U26" s="3">
        <v>200</v>
      </c>
      <c r="V26" s="3">
        <v>200</v>
      </c>
      <c r="W26" s="3">
        <v>200</v>
      </c>
      <c r="X26" s="3">
        <v>200</v>
      </c>
      <c r="Y26" s="3">
        <v>200</v>
      </c>
      <c r="Z26" s="3">
        <v>200</v>
      </c>
      <c r="AA26" s="3">
        <v>200</v>
      </c>
      <c r="AB26" s="3">
        <v>200</v>
      </c>
      <c r="AC26" s="3">
        <v>200</v>
      </c>
      <c r="AD26" s="3">
        <v>200</v>
      </c>
      <c r="AE26" s="3">
        <v>200</v>
      </c>
      <c r="AF26" s="3">
        <v>200</v>
      </c>
      <c r="AG26" s="3">
        <v>200</v>
      </c>
      <c r="AH26" s="3">
        <v>200</v>
      </c>
      <c r="AI26" s="3">
        <v>200</v>
      </c>
      <c r="AJ26" s="3">
        <v>200</v>
      </c>
      <c r="AK26" s="3">
        <v>200</v>
      </c>
      <c r="AL26" s="3">
        <v>200</v>
      </c>
      <c r="AM26" s="3">
        <v>200</v>
      </c>
      <c r="AN26" s="3">
        <v>200</v>
      </c>
      <c r="AO26" s="3">
        <v>200</v>
      </c>
      <c r="AP26" s="3">
        <v>200</v>
      </c>
      <c r="AQ26" s="3">
        <v>200</v>
      </c>
      <c r="AR26" s="3">
        <v>200</v>
      </c>
      <c r="AS26" s="3">
        <v>200</v>
      </c>
      <c r="AT26" s="3">
        <v>200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1:76" ht="15.6" x14ac:dyDescent="0.3">
      <c r="A27" s="3" t="s">
        <v>70</v>
      </c>
      <c r="B27" s="3" t="s">
        <v>71</v>
      </c>
      <c r="C27" s="3" t="s">
        <v>105</v>
      </c>
      <c r="D27" s="3"/>
      <c r="E27" s="4" t="s">
        <v>94</v>
      </c>
      <c r="F27" s="3"/>
      <c r="G27" s="5">
        <v>46041</v>
      </c>
      <c r="H27" s="17">
        <v>46069</v>
      </c>
      <c r="I27" s="17">
        <f t="shared" si="6"/>
        <v>46101</v>
      </c>
      <c r="J27" s="16">
        <f t="shared" si="7"/>
        <v>32</v>
      </c>
      <c r="K27" s="3">
        <v>12000</v>
      </c>
      <c r="L27" s="3">
        <f t="shared" si="2"/>
        <v>6400</v>
      </c>
      <c r="M27" s="20" t="b">
        <f t="shared" si="8"/>
        <v>1</v>
      </c>
      <c r="O27" s="6" t="str">
        <f t="shared" si="3"/>
        <v>Open</v>
      </c>
      <c r="P27" s="3">
        <f t="shared" si="4"/>
        <v>32</v>
      </c>
      <c r="Q27" s="3">
        <v>200</v>
      </c>
      <c r="R27" s="3">
        <v>200</v>
      </c>
      <c r="S27" s="3">
        <v>200</v>
      </c>
      <c r="T27" s="3">
        <v>200</v>
      </c>
      <c r="U27" s="3">
        <v>200</v>
      </c>
      <c r="V27" s="3">
        <v>200</v>
      </c>
      <c r="W27" s="3">
        <v>200</v>
      </c>
      <c r="X27" s="3">
        <v>200</v>
      </c>
      <c r="Y27" s="3">
        <v>200</v>
      </c>
      <c r="Z27" s="3">
        <v>200</v>
      </c>
      <c r="AA27" s="3">
        <v>200</v>
      </c>
      <c r="AB27" s="3">
        <v>200</v>
      </c>
      <c r="AC27" s="3">
        <v>200</v>
      </c>
      <c r="AD27" s="3">
        <v>200</v>
      </c>
      <c r="AE27" s="3">
        <v>200</v>
      </c>
      <c r="AF27" s="3">
        <v>200</v>
      </c>
      <c r="AG27" s="3">
        <v>200</v>
      </c>
      <c r="AH27" s="3">
        <v>200</v>
      </c>
      <c r="AI27" s="3">
        <v>200</v>
      </c>
      <c r="AJ27" s="3">
        <v>200</v>
      </c>
      <c r="AK27" s="3">
        <v>200</v>
      </c>
      <c r="AL27" s="3">
        <v>200</v>
      </c>
      <c r="AM27" s="3">
        <v>200</v>
      </c>
      <c r="AN27" s="3">
        <v>200</v>
      </c>
      <c r="AO27" s="3">
        <v>200</v>
      </c>
      <c r="AP27" s="3">
        <v>200</v>
      </c>
      <c r="AQ27" s="3">
        <v>200</v>
      </c>
      <c r="AR27" s="3">
        <v>200</v>
      </c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1:76" ht="15.6" x14ac:dyDescent="0.3">
      <c r="A28" s="3" t="s">
        <v>70</v>
      </c>
      <c r="B28" s="3" t="s">
        <v>71</v>
      </c>
      <c r="C28" s="3" t="s">
        <v>105</v>
      </c>
      <c r="D28" s="3"/>
      <c r="E28" s="4" t="s">
        <v>106</v>
      </c>
      <c r="F28" s="3"/>
      <c r="G28" s="5">
        <v>46041</v>
      </c>
      <c r="H28" s="17">
        <v>46069</v>
      </c>
      <c r="I28" s="17">
        <f t="shared" si="6"/>
        <v>46101</v>
      </c>
      <c r="J28" s="16">
        <f t="shared" si="7"/>
        <v>32</v>
      </c>
      <c r="K28" s="3">
        <v>12000</v>
      </c>
      <c r="L28" s="3">
        <f t="shared" si="2"/>
        <v>6400</v>
      </c>
      <c r="M28" s="20" t="b">
        <f t="shared" si="8"/>
        <v>1</v>
      </c>
      <c r="O28" s="6" t="str">
        <f t="shared" si="3"/>
        <v>Open</v>
      </c>
      <c r="P28" s="3">
        <f t="shared" si="4"/>
        <v>32</v>
      </c>
      <c r="Q28" s="3">
        <v>200</v>
      </c>
      <c r="R28" s="3">
        <v>200</v>
      </c>
      <c r="S28" s="3">
        <v>200</v>
      </c>
      <c r="T28" s="3">
        <v>200</v>
      </c>
      <c r="U28" s="3">
        <v>200</v>
      </c>
      <c r="V28" s="3">
        <v>200</v>
      </c>
      <c r="W28" s="3">
        <v>200</v>
      </c>
      <c r="X28" s="3">
        <v>200</v>
      </c>
      <c r="Y28" s="3">
        <v>200</v>
      </c>
      <c r="Z28" s="3">
        <v>200</v>
      </c>
      <c r="AA28" s="3">
        <v>200</v>
      </c>
      <c r="AB28" s="3">
        <v>200</v>
      </c>
      <c r="AC28" s="3">
        <v>200</v>
      </c>
      <c r="AD28" s="3">
        <v>200</v>
      </c>
      <c r="AE28" s="3">
        <v>200</v>
      </c>
      <c r="AF28" s="3">
        <v>200</v>
      </c>
      <c r="AG28" s="3">
        <v>200</v>
      </c>
      <c r="AH28" s="3">
        <v>200</v>
      </c>
      <c r="AI28" s="3">
        <v>200</v>
      </c>
      <c r="AJ28" s="3">
        <v>200</v>
      </c>
      <c r="AK28" s="3">
        <v>200</v>
      </c>
      <c r="AL28" s="3">
        <v>200</v>
      </c>
      <c r="AM28" s="3">
        <v>200</v>
      </c>
      <c r="AN28" s="3">
        <v>200</v>
      </c>
      <c r="AO28" s="3">
        <v>200</v>
      </c>
      <c r="AP28" s="3">
        <v>200</v>
      </c>
      <c r="AQ28" s="3">
        <v>200</v>
      </c>
      <c r="AR28" s="3">
        <v>200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</row>
    <row r="29" spans="1:76" ht="15.6" x14ac:dyDescent="0.3">
      <c r="A29" s="3" t="s">
        <v>70</v>
      </c>
      <c r="B29" s="3" t="s">
        <v>71</v>
      </c>
      <c r="C29" s="3" t="s">
        <v>105</v>
      </c>
      <c r="D29" s="3"/>
      <c r="E29" s="4" t="s">
        <v>87</v>
      </c>
      <c r="F29" s="3"/>
      <c r="G29" s="5">
        <v>46041</v>
      </c>
      <c r="H29" s="17">
        <v>46069</v>
      </c>
      <c r="I29" s="17">
        <f t="shared" si="6"/>
        <v>46101</v>
      </c>
      <c r="J29" s="16">
        <f t="shared" si="7"/>
        <v>32</v>
      </c>
      <c r="K29" s="3">
        <v>12000</v>
      </c>
      <c r="L29" s="3">
        <f t="shared" si="2"/>
        <v>6400</v>
      </c>
      <c r="M29" s="20" t="b">
        <f t="shared" si="8"/>
        <v>1</v>
      </c>
      <c r="O29" s="6" t="str">
        <f t="shared" si="3"/>
        <v>Open</v>
      </c>
      <c r="P29" s="3">
        <f t="shared" si="4"/>
        <v>32</v>
      </c>
      <c r="Q29" s="3">
        <v>200</v>
      </c>
      <c r="R29" s="3">
        <v>200</v>
      </c>
      <c r="S29" s="3">
        <v>200</v>
      </c>
      <c r="T29" s="3">
        <v>200</v>
      </c>
      <c r="U29" s="3">
        <v>200</v>
      </c>
      <c r="V29" s="3">
        <v>200</v>
      </c>
      <c r="W29" s="3">
        <v>200</v>
      </c>
      <c r="X29" s="3">
        <v>200</v>
      </c>
      <c r="Y29" s="3">
        <v>200</v>
      </c>
      <c r="Z29" s="3">
        <v>200</v>
      </c>
      <c r="AA29" s="3">
        <v>200</v>
      </c>
      <c r="AB29" s="3">
        <v>200</v>
      </c>
      <c r="AC29" s="3">
        <v>200</v>
      </c>
      <c r="AD29" s="3">
        <v>200</v>
      </c>
      <c r="AE29" s="3">
        <v>200</v>
      </c>
      <c r="AF29" s="3">
        <v>200</v>
      </c>
      <c r="AG29" s="3">
        <v>200</v>
      </c>
      <c r="AH29" s="3">
        <v>200</v>
      </c>
      <c r="AI29" s="3">
        <v>200</v>
      </c>
      <c r="AJ29" s="3">
        <v>200</v>
      </c>
      <c r="AK29" s="3">
        <v>200</v>
      </c>
      <c r="AL29" s="3">
        <v>200</v>
      </c>
      <c r="AM29" s="3">
        <v>200</v>
      </c>
      <c r="AN29" s="3">
        <v>200</v>
      </c>
      <c r="AO29" s="3">
        <v>200</v>
      </c>
      <c r="AP29" s="3">
        <v>200</v>
      </c>
      <c r="AQ29" s="3">
        <v>200</v>
      </c>
      <c r="AR29" s="3">
        <v>200</v>
      </c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</row>
    <row r="30" spans="1:76" ht="15.6" x14ac:dyDescent="0.3">
      <c r="A30" s="3" t="s">
        <v>70</v>
      </c>
      <c r="B30" s="3" t="s">
        <v>71</v>
      </c>
      <c r="C30" s="3" t="s">
        <v>105</v>
      </c>
      <c r="D30" s="3"/>
      <c r="E30" s="4" t="s">
        <v>107</v>
      </c>
      <c r="F30" s="3"/>
      <c r="G30" s="5">
        <v>46041</v>
      </c>
      <c r="H30" s="17">
        <v>46069</v>
      </c>
      <c r="I30" s="17">
        <f t="shared" si="6"/>
        <v>46101</v>
      </c>
      <c r="J30" s="16">
        <f t="shared" si="7"/>
        <v>32</v>
      </c>
      <c r="K30" s="3">
        <v>12000</v>
      </c>
      <c r="L30" s="3">
        <f t="shared" si="2"/>
        <v>6400</v>
      </c>
      <c r="M30" s="20" t="b">
        <f t="shared" si="8"/>
        <v>1</v>
      </c>
      <c r="O30" s="6" t="str">
        <f t="shared" si="3"/>
        <v>Open</v>
      </c>
      <c r="P30" s="3">
        <f t="shared" si="4"/>
        <v>32</v>
      </c>
      <c r="Q30" s="3">
        <v>200</v>
      </c>
      <c r="R30" s="3">
        <v>200</v>
      </c>
      <c r="S30" s="3">
        <v>200</v>
      </c>
      <c r="T30" s="3">
        <v>200</v>
      </c>
      <c r="U30" s="3">
        <v>200</v>
      </c>
      <c r="V30" s="3">
        <v>200</v>
      </c>
      <c r="W30" s="3">
        <v>200</v>
      </c>
      <c r="X30" s="3">
        <v>200</v>
      </c>
      <c r="Y30" s="3">
        <v>200</v>
      </c>
      <c r="Z30" s="3">
        <v>200</v>
      </c>
      <c r="AA30" s="3">
        <v>200</v>
      </c>
      <c r="AB30" s="3">
        <v>200</v>
      </c>
      <c r="AC30" s="3">
        <v>200</v>
      </c>
      <c r="AD30" s="3">
        <v>200</v>
      </c>
      <c r="AE30" s="3">
        <v>200</v>
      </c>
      <c r="AF30" s="3">
        <v>200</v>
      </c>
      <c r="AG30" s="3">
        <v>200</v>
      </c>
      <c r="AH30" s="3">
        <v>200</v>
      </c>
      <c r="AI30" s="3">
        <v>200</v>
      </c>
      <c r="AJ30" s="3">
        <v>200</v>
      </c>
      <c r="AK30" s="3">
        <v>200</v>
      </c>
      <c r="AL30" s="3">
        <v>200</v>
      </c>
      <c r="AM30" s="3">
        <v>200</v>
      </c>
      <c r="AN30" s="3">
        <v>200</v>
      </c>
      <c r="AO30" s="3">
        <v>200</v>
      </c>
      <c r="AP30" s="3">
        <v>200</v>
      </c>
      <c r="AQ30" s="3">
        <v>200</v>
      </c>
      <c r="AR30" s="3">
        <v>200</v>
      </c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</row>
    <row r="31" spans="1:76" ht="15.6" x14ac:dyDescent="0.3">
      <c r="A31" s="3" t="s">
        <v>70</v>
      </c>
      <c r="B31" s="3" t="s">
        <v>71</v>
      </c>
      <c r="C31" s="3" t="s">
        <v>105</v>
      </c>
      <c r="D31" s="3"/>
      <c r="E31" s="4" t="s">
        <v>108</v>
      </c>
      <c r="F31" s="3"/>
      <c r="G31" s="5">
        <v>46041</v>
      </c>
      <c r="H31" s="17">
        <v>46069</v>
      </c>
      <c r="I31" s="17">
        <f t="shared" si="6"/>
        <v>46101</v>
      </c>
      <c r="J31" s="16">
        <f t="shared" si="7"/>
        <v>32</v>
      </c>
      <c r="K31" s="3">
        <v>6000</v>
      </c>
      <c r="L31" s="3">
        <f t="shared" si="2"/>
        <v>3200</v>
      </c>
      <c r="M31" s="20" t="b">
        <f t="shared" si="8"/>
        <v>1</v>
      </c>
      <c r="O31" s="6" t="str">
        <f t="shared" si="3"/>
        <v>Open</v>
      </c>
      <c r="P31" s="3">
        <f t="shared" si="4"/>
        <v>32</v>
      </c>
      <c r="Q31" s="3">
        <v>100</v>
      </c>
      <c r="R31" s="3">
        <v>100</v>
      </c>
      <c r="S31" s="3">
        <v>100</v>
      </c>
      <c r="T31" s="3">
        <v>100</v>
      </c>
      <c r="U31" s="3">
        <v>100</v>
      </c>
      <c r="V31" s="3">
        <v>100</v>
      </c>
      <c r="W31" s="3">
        <v>100</v>
      </c>
      <c r="X31" s="3">
        <v>100</v>
      </c>
      <c r="Y31" s="3">
        <v>100</v>
      </c>
      <c r="Z31" s="3">
        <v>100</v>
      </c>
      <c r="AA31" s="3">
        <v>100</v>
      </c>
      <c r="AB31" s="3">
        <v>100</v>
      </c>
      <c r="AC31" s="3">
        <v>100</v>
      </c>
      <c r="AD31" s="3">
        <v>100</v>
      </c>
      <c r="AE31" s="3">
        <v>100</v>
      </c>
      <c r="AF31" s="3">
        <v>100</v>
      </c>
      <c r="AG31" s="3">
        <v>100</v>
      </c>
      <c r="AH31" s="3">
        <v>100</v>
      </c>
      <c r="AI31" s="3">
        <v>100</v>
      </c>
      <c r="AJ31" s="3">
        <v>100</v>
      </c>
      <c r="AK31" s="3">
        <v>100</v>
      </c>
      <c r="AL31" s="3">
        <v>100</v>
      </c>
      <c r="AM31" s="3">
        <v>100</v>
      </c>
      <c r="AN31" s="3">
        <v>100</v>
      </c>
      <c r="AO31" s="3">
        <v>100</v>
      </c>
      <c r="AP31" s="3">
        <v>100</v>
      </c>
      <c r="AQ31" s="3">
        <v>100</v>
      </c>
      <c r="AR31" s="3">
        <v>100</v>
      </c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</row>
    <row r="32" spans="1:76" ht="15.6" x14ac:dyDescent="0.3">
      <c r="A32" s="3" t="s">
        <v>70</v>
      </c>
      <c r="B32" s="3" t="s">
        <v>71</v>
      </c>
      <c r="C32" s="3" t="s">
        <v>70</v>
      </c>
      <c r="D32" s="3"/>
      <c r="E32" s="4" t="s">
        <v>88</v>
      </c>
      <c r="F32" s="3"/>
      <c r="G32" s="5">
        <v>46042</v>
      </c>
      <c r="H32" s="17">
        <v>46069</v>
      </c>
      <c r="I32" s="17">
        <f t="shared" si="6"/>
        <v>46102</v>
      </c>
      <c r="J32" s="16">
        <f t="shared" si="7"/>
        <v>33</v>
      </c>
      <c r="K32" s="3">
        <v>6000</v>
      </c>
      <c r="L32" s="3">
        <f t="shared" si="2"/>
        <v>3300</v>
      </c>
      <c r="M32" s="20" t="b">
        <f t="shared" si="8"/>
        <v>1</v>
      </c>
      <c r="O32" s="6" t="str">
        <f t="shared" si="3"/>
        <v>Open</v>
      </c>
      <c r="P32" s="3">
        <f t="shared" si="4"/>
        <v>33</v>
      </c>
      <c r="Q32" s="3">
        <v>100</v>
      </c>
      <c r="R32" s="3">
        <v>100</v>
      </c>
      <c r="S32" s="3">
        <v>100</v>
      </c>
      <c r="T32" s="3">
        <v>100</v>
      </c>
      <c r="U32" s="3">
        <v>100</v>
      </c>
      <c r="V32" s="3">
        <v>100</v>
      </c>
      <c r="W32" s="3">
        <v>100</v>
      </c>
      <c r="X32" s="3">
        <v>100</v>
      </c>
      <c r="Y32" s="3">
        <v>100</v>
      </c>
      <c r="Z32" s="3">
        <v>100</v>
      </c>
      <c r="AA32" s="3">
        <v>100</v>
      </c>
      <c r="AB32" s="3">
        <v>100</v>
      </c>
      <c r="AC32" s="3">
        <v>100</v>
      </c>
      <c r="AD32" s="3">
        <v>100</v>
      </c>
      <c r="AE32" s="3">
        <v>100</v>
      </c>
      <c r="AF32" s="3">
        <v>100</v>
      </c>
      <c r="AG32" s="3">
        <v>100</v>
      </c>
      <c r="AH32" s="3">
        <v>100</v>
      </c>
      <c r="AI32" s="3">
        <v>100</v>
      </c>
      <c r="AJ32" s="3">
        <v>100</v>
      </c>
      <c r="AK32" s="3">
        <v>100</v>
      </c>
      <c r="AL32" s="3">
        <v>100</v>
      </c>
      <c r="AM32" s="3">
        <v>100</v>
      </c>
      <c r="AN32" s="3">
        <v>100</v>
      </c>
      <c r="AO32" s="3">
        <v>100</v>
      </c>
      <c r="AP32" s="3">
        <v>100</v>
      </c>
      <c r="AQ32" s="3">
        <v>100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</row>
    <row r="33" spans="1:76" ht="15.6" x14ac:dyDescent="0.3">
      <c r="A33" s="3" t="s">
        <v>70</v>
      </c>
      <c r="B33" s="3" t="s">
        <v>71</v>
      </c>
      <c r="C33" s="3" t="s">
        <v>70</v>
      </c>
      <c r="D33" s="3"/>
      <c r="E33" s="4" t="s">
        <v>89</v>
      </c>
      <c r="F33" s="3"/>
      <c r="G33" s="5">
        <v>46042</v>
      </c>
      <c r="H33" s="17">
        <v>46069</v>
      </c>
      <c r="I33" s="17">
        <f t="shared" si="6"/>
        <v>46102</v>
      </c>
      <c r="J33" s="16">
        <f t="shared" si="7"/>
        <v>33</v>
      </c>
      <c r="K33" s="3">
        <v>6000</v>
      </c>
      <c r="L33" s="3">
        <f t="shared" si="2"/>
        <v>3300</v>
      </c>
      <c r="M33" s="20" t="b">
        <f t="shared" si="8"/>
        <v>1</v>
      </c>
      <c r="O33" s="6" t="str">
        <f t="shared" si="3"/>
        <v>Open</v>
      </c>
      <c r="P33" s="3">
        <f t="shared" si="4"/>
        <v>33</v>
      </c>
      <c r="Q33" s="3">
        <v>100</v>
      </c>
      <c r="R33" s="3">
        <v>100</v>
      </c>
      <c r="S33" s="3">
        <v>100</v>
      </c>
      <c r="T33" s="3">
        <v>100</v>
      </c>
      <c r="U33" s="3">
        <v>100</v>
      </c>
      <c r="V33" s="3">
        <v>100</v>
      </c>
      <c r="W33" s="3">
        <v>100</v>
      </c>
      <c r="X33" s="3">
        <v>100</v>
      </c>
      <c r="Y33" s="3">
        <v>100</v>
      </c>
      <c r="Z33" s="3">
        <v>100</v>
      </c>
      <c r="AA33" s="3">
        <v>100</v>
      </c>
      <c r="AB33" s="3">
        <v>100</v>
      </c>
      <c r="AC33" s="3">
        <v>100</v>
      </c>
      <c r="AD33" s="3">
        <v>100</v>
      </c>
      <c r="AE33" s="3">
        <v>100</v>
      </c>
      <c r="AF33" s="3">
        <v>100</v>
      </c>
      <c r="AG33" s="3">
        <v>100</v>
      </c>
      <c r="AH33" s="3">
        <v>100</v>
      </c>
      <c r="AI33" s="3">
        <v>100</v>
      </c>
      <c r="AJ33" s="3">
        <v>100</v>
      </c>
      <c r="AK33" s="3">
        <v>100</v>
      </c>
      <c r="AL33" s="3">
        <v>100</v>
      </c>
      <c r="AM33" s="3">
        <v>100</v>
      </c>
      <c r="AN33" s="3">
        <v>100</v>
      </c>
      <c r="AO33" s="3">
        <v>100</v>
      </c>
      <c r="AP33" s="3">
        <v>100</v>
      </c>
      <c r="AQ33" s="3">
        <v>100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</row>
    <row r="34" spans="1:76" ht="15.6" x14ac:dyDescent="0.3">
      <c r="A34" s="3" t="s">
        <v>70</v>
      </c>
      <c r="B34" s="3" t="s">
        <v>71</v>
      </c>
      <c r="C34" s="3" t="s">
        <v>114</v>
      </c>
      <c r="D34" s="3"/>
      <c r="E34" s="4" t="s">
        <v>115</v>
      </c>
      <c r="F34" s="3"/>
      <c r="G34" s="5">
        <v>46043</v>
      </c>
      <c r="H34" s="17">
        <v>46069</v>
      </c>
      <c r="I34" s="17">
        <f t="shared" si="6"/>
        <v>46103</v>
      </c>
      <c r="J34" s="16">
        <f t="shared" si="7"/>
        <v>34</v>
      </c>
      <c r="K34" s="3">
        <v>6000</v>
      </c>
      <c r="L34" s="3">
        <f t="shared" si="2"/>
        <v>3400</v>
      </c>
      <c r="M34" s="20" t="b">
        <f t="shared" si="8"/>
        <v>1</v>
      </c>
      <c r="O34" s="6" t="str">
        <f t="shared" si="3"/>
        <v>Open</v>
      </c>
      <c r="P34" s="3">
        <f t="shared" si="4"/>
        <v>34</v>
      </c>
      <c r="Q34" s="3">
        <v>100</v>
      </c>
      <c r="R34" s="3">
        <v>100</v>
      </c>
      <c r="S34" s="3">
        <v>100</v>
      </c>
      <c r="T34" s="3">
        <v>100</v>
      </c>
      <c r="U34" s="3">
        <v>100</v>
      </c>
      <c r="V34" s="3">
        <v>100</v>
      </c>
      <c r="W34" s="3">
        <v>100</v>
      </c>
      <c r="X34" s="3">
        <v>100</v>
      </c>
      <c r="Y34" s="3">
        <v>100</v>
      </c>
      <c r="Z34" s="3">
        <v>100</v>
      </c>
      <c r="AA34" s="3">
        <v>100</v>
      </c>
      <c r="AB34" s="3">
        <v>100</v>
      </c>
      <c r="AC34" s="3">
        <v>100</v>
      </c>
      <c r="AD34" s="3">
        <v>100</v>
      </c>
      <c r="AE34" s="3">
        <v>100</v>
      </c>
      <c r="AF34" s="3">
        <v>100</v>
      </c>
      <c r="AG34" s="3">
        <v>100</v>
      </c>
      <c r="AH34" s="3">
        <v>100</v>
      </c>
      <c r="AI34" s="3">
        <v>100</v>
      </c>
      <c r="AJ34" s="3">
        <v>100</v>
      </c>
      <c r="AK34" s="3">
        <v>100</v>
      </c>
      <c r="AL34" s="3">
        <v>100</v>
      </c>
      <c r="AM34" s="3">
        <v>100</v>
      </c>
      <c r="AN34" s="3">
        <v>100</v>
      </c>
      <c r="AO34" s="3">
        <v>100</v>
      </c>
      <c r="AP34" s="3">
        <v>100</v>
      </c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</row>
    <row r="35" spans="1:76" ht="15.6" x14ac:dyDescent="0.3">
      <c r="A35" s="3" t="s">
        <v>70</v>
      </c>
      <c r="B35" s="3" t="s">
        <v>71</v>
      </c>
      <c r="C35" s="3" t="s">
        <v>114</v>
      </c>
      <c r="D35" s="3"/>
      <c r="E35" s="4" t="s">
        <v>90</v>
      </c>
      <c r="F35" s="3"/>
      <c r="G35" s="5">
        <v>46043</v>
      </c>
      <c r="H35" s="17">
        <v>46069</v>
      </c>
      <c r="I35" s="17">
        <f t="shared" si="6"/>
        <v>46103</v>
      </c>
      <c r="J35" s="16">
        <f t="shared" si="7"/>
        <v>34</v>
      </c>
      <c r="K35" s="3">
        <v>6000</v>
      </c>
      <c r="L35" s="3">
        <f t="shared" si="2"/>
        <v>3400</v>
      </c>
      <c r="M35" s="20" t="b">
        <f t="shared" si="8"/>
        <v>1</v>
      </c>
      <c r="O35" s="6" t="str">
        <f t="shared" si="3"/>
        <v>Open</v>
      </c>
      <c r="P35" s="3">
        <f t="shared" si="4"/>
        <v>34</v>
      </c>
      <c r="Q35" s="3">
        <v>100</v>
      </c>
      <c r="R35" s="3">
        <v>100</v>
      </c>
      <c r="S35" s="3">
        <v>100</v>
      </c>
      <c r="T35" s="3">
        <v>100</v>
      </c>
      <c r="U35" s="3">
        <v>100</v>
      </c>
      <c r="V35" s="3">
        <v>100</v>
      </c>
      <c r="W35" s="3">
        <v>100</v>
      </c>
      <c r="X35" s="3">
        <v>100</v>
      </c>
      <c r="Y35" s="3">
        <v>100</v>
      </c>
      <c r="Z35" s="3">
        <v>100</v>
      </c>
      <c r="AA35" s="3">
        <v>100</v>
      </c>
      <c r="AB35" s="3">
        <v>100</v>
      </c>
      <c r="AC35" s="3">
        <v>100</v>
      </c>
      <c r="AD35" s="3">
        <v>100</v>
      </c>
      <c r="AE35" s="3">
        <v>100</v>
      </c>
      <c r="AF35" s="3">
        <v>100</v>
      </c>
      <c r="AG35" s="3">
        <v>100</v>
      </c>
      <c r="AH35" s="3">
        <v>100</v>
      </c>
      <c r="AI35" s="3">
        <v>100</v>
      </c>
      <c r="AJ35" s="3">
        <v>100</v>
      </c>
      <c r="AK35" s="3">
        <v>100</v>
      </c>
      <c r="AL35" s="3">
        <v>100</v>
      </c>
      <c r="AM35" s="3">
        <v>100</v>
      </c>
      <c r="AN35" s="3">
        <v>100</v>
      </c>
      <c r="AO35" s="3">
        <v>100</v>
      </c>
      <c r="AP35" s="3">
        <v>100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  <row r="36" spans="1:76" ht="15.6" x14ac:dyDescent="0.3">
      <c r="A36" s="3" t="s">
        <v>70</v>
      </c>
      <c r="B36" s="3" t="s">
        <v>71</v>
      </c>
      <c r="C36" s="3" t="s">
        <v>114</v>
      </c>
      <c r="D36" s="3"/>
      <c r="E36" s="4" t="s">
        <v>110</v>
      </c>
      <c r="F36" s="3"/>
      <c r="G36" s="5">
        <v>46043</v>
      </c>
      <c r="H36" s="17">
        <v>46069</v>
      </c>
      <c r="I36" s="17">
        <f t="shared" si="6"/>
        <v>46103</v>
      </c>
      <c r="J36" s="16">
        <f t="shared" si="7"/>
        <v>34</v>
      </c>
      <c r="K36" s="3">
        <v>6000</v>
      </c>
      <c r="L36" s="3">
        <f t="shared" si="2"/>
        <v>3400</v>
      </c>
      <c r="M36" s="20" t="b">
        <f t="shared" si="8"/>
        <v>1</v>
      </c>
      <c r="O36" s="6" t="str">
        <f t="shared" si="3"/>
        <v>Open</v>
      </c>
      <c r="P36" s="3">
        <f t="shared" si="4"/>
        <v>34</v>
      </c>
      <c r="Q36" s="3">
        <v>100</v>
      </c>
      <c r="R36" s="3">
        <v>100</v>
      </c>
      <c r="S36" s="3">
        <v>100</v>
      </c>
      <c r="T36" s="3">
        <v>100</v>
      </c>
      <c r="U36" s="3">
        <v>100</v>
      </c>
      <c r="V36" s="3">
        <v>100</v>
      </c>
      <c r="W36" s="3">
        <v>100</v>
      </c>
      <c r="X36" s="3">
        <v>100</v>
      </c>
      <c r="Y36" s="3">
        <v>100</v>
      </c>
      <c r="Z36" s="3">
        <v>100</v>
      </c>
      <c r="AA36" s="3">
        <v>100</v>
      </c>
      <c r="AB36" s="3">
        <v>100</v>
      </c>
      <c r="AC36" s="3">
        <v>100</v>
      </c>
      <c r="AD36" s="3">
        <v>100</v>
      </c>
      <c r="AE36" s="3">
        <v>100</v>
      </c>
      <c r="AF36" s="3">
        <v>100</v>
      </c>
      <c r="AG36" s="3">
        <v>100</v>
      </c>
      <c r="AH36" s="3">
        <v>100</v>
      </c>
      <c r="AI36" s="3">
        <v>100</v>
      </c>
      <c r="AJ36" s="3">
        <v>100</v>
      </c>
      <c r="AK36" s="3">
        <v>100</v>
      </c>
      <c r="AL36" s="3">
        <v>100</v>
      </c>
      <c r="AM36" s="3">
        <v>100</v>
      </c>
      <c r="AN36" s="3">
        <v>100</v>
      </c>
      <c r="AO36" s="3">
        <v>100</v>
      </c>
      <c r="AP36" s="3">
        <v>100</v>
      </c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</row>
    <row r="37" spans="1:76" ht="15.6" x14ac:dyDescent="0.3">
      <c r="A37" s="3" t="s">
        <v>70</v>
      </c>
      <c r="B37" s="3" t="s">
        <v>71</v>
      </c>
      <c r="C37" s="3" t="s">
        <v>114</v>
      </c>
      <c r="D37" s="3"/>
      <c r="E37" s="4" t="s">
        <v>116</v>
      </c>
      <c r="F37" s="3"/>
      <c r="G37" s="5">
        <v>46043</v>
      </c>
      <c r="H37" s="17">
        <v>46069</v>
      </c>
      <c r="I37" s="17">
        <f t="shared" si="6"/>
        <v>46103</v>
      </c>
      <c r="J37" s="16">
        <f t="shared" si="7"/>
        <v>34</v>
      </c>
      <c r="K37" s="3">
        <v>6000</v>
      </c>
      <c r="L37" s="3">
        <f t="shared" si="2"/>
        <v>3400</v>
      </c>
      <c r="M37" s="20" t="b">
        <f t="shared" si="8"/>
        <v>1</v>
      </c>
      <c r="O37" s="6" t="str">
        <f t="shared" si="3"/>
        <v>Open</v>
      </c>
      <c r="P37" s="3">
        <f t="shared" si="4"/>
        <v>34</v>
      </c>
      <c r="Q37" s="3">
        <v>100</v>
      </c>
      <c r="R37" s="3">
        <v>100</v>
      </c>
      <c r="S37" s="3">
        <v>100</v>
      </c>
      <c r="T37" s="3">
        <v>100</v>
      </c>
      <c r="U37" s="3">
        <v>100</v>
      </c>
      <c r="V37" s="3">
        <v>100</v>
      </c>
      <c r="W37" s="3">
        <v>100</v>
      </c>
      <c r="X37" s="3">
        <v>100</v>
      </c>
      <c r="Y37" s="3">
        <v>100</v>
      </c>
      <c r="Z37" s="3">
        <v>100</v>
      </c>
      <c r="AA37" s="3">
        <v>100</v>
      </c>
      <c r="AB37" s="3">
        <v>100</v>
      </c>
      <c r="AC37" s="3">
        <v>100</v>
      </c>
      <c r="AD37" s="3">
        <v>100</v>
      </c>
      <c r="AE37" s="3">
        <v>100</v>
      </c>
      <c r="AF37" s="3">
        <v>100</v>
      </c>
      <c r="AG37" s="3">
        <v>100</v>
      </c>
      <c r="AH37" s="3">
        <v>100</v>
      </c>
      <c r="AI37" s="3">
        <v>100</v>
      </c>
      <c r="AJ37" s="3">
        <v>100</v>
      </c>
      <c r="AK37" s="3">
        <v>100</v>
      </c>
      <c r="AL37" s="3">
        <v>100</v>
      </c>
      <c r="AM37" s="3">
        <v>100</v>
      </c>
      <c r="AN37" s="3">
        <v>100</v>
      </c>
      <c r="AO37" s="3">
        <v>100</v>
      </c>
      <c r="AP37" s="3">
        <v>100</v>
      </c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</row>
    <row r="38" spans="1:76" ht="15.6" x14ac:dyDescent="0.3">
      <c r="A38" s="3" t="s">
        <v>70</v>
      </c>
      <c r="B38" s="3" t="s">
        <v>71</v>
      </c>
      <c r="C38" s="3" t="s">
        <v>144</v>
      </c>
      <c r="D38" s="3"/>
      <c r="E38" s="4" t="s">
        <v>149</v>
      </c>
      <c r="F38" s="3"/>
      <c r="G38" s="5">
        <v>46043</v>
      </c>
      <c r="H38" s="17">
        <v>46069</v>
      </c>
      <c r="I38" s="17">
        <f t="shared" si="6"/>
        <v>46103</v>
      </c>
      <c r="J38" s="16">
        <f t="shared" si="7"/>
        <v>34</v>
      </c>
      <c r="K38" s="3">
        <v>12000</v>
      </c>
      <c r="L38" s="3">
        <f t="shared" si="2"/>
        <v>6800</v>
      </c>
      <c r="M38" s="20" t="b">
        <f t="shared" si="8"/>
        <v>1</v>
      </c>
      <c r="O38" s="6" t="str">
        <f t="shared" si="3"/>
        <v>Open</v>
      </c>
      <c r="P38" s="3">
        <f t="shared" si="4"/>
        <v>34</v>
      </c>
      <c r="Q38" s="3">
        <v>200</v>
      </c>
      <c r="R38" s="3">
        <v>200</v>
      </c>
      <c r="S38" s="3">
        <v>200</v>
      </c>
      <c r="T38" s="3">
        <v>200</v>
      </c>
      <c r="U38" s="3">
        <v>200</v>
      </c>
      <c r="V38" s="3">
        <v>200</v>
      </c>
      <c r="W38" s="3">
        <v>200</v>
      </c>
      <c r="X38" s="3">
        <v>200</v>
      </c>
      <c r="Y38" s="3">
        <v>200</v>
      </c>
      <c r="Z38" s="3">
        <v>200</v>
      </c>
      <c r="AA38" s="3">
        <v>200</v>
      </c>
      <c r="AB38" s="3">
        <v>200</v>
      </c>
      <c r="AC38" s="3">
        <v>200</v>
      </c>
      <c r="AD38" s="3">
        <v>200</v>
      </c>
      <c r="AE38" s="3">
        <v>200</v>
      </c>
      <c r="AF38" s="3">
        <v>200</v>
      </c>
      <c r="AG38" s="3">
        <v>200</v>
      </c>
      <c r="AH38" s="3">
        <v>200</v>
      </c>
      <c r="AI38" s="3">
        <v>200</v>
      </c>
      <c r="AJ38" s="3">
        <v>200</v>
      </c>
      <c r="AK38" s="3">
        <v>200</v>
      </c>
      <c r="AL38" s="3">
        <v>200</v>
      </c>
      <c r="AM38" s="3">
        <v>200</v>
      </c>
      <c r="AN38" s="3">
        <v>200</v>
      </c>
      <c r="AO38" s="3">
        <v>200</v>
      </c>
      <c r="AP38" s="3">
        <v>200</v>
      </c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</row>
    <row r="39" spans="1:76" ht="15.6" x14ac:dyDescent="0.3">
      <c r="A39" s="3" t="s">
        <v>70</v>
      </c>
      <c r="B39" s="3" t="s">
        <v>71</v>
      </c>
      <c r="C39" s="3" t="s">
        <v>92</v>
      </c>
      <c r="D39" s="3"/>
      <c r="E39" s="4" t="s">
        <v>93</v>
      </c>
      <c r="F39" s="3"/>
      <c r="G39" s="5">
        <v>46045</v>
      </c>
      <c r="H39" s="17">
        <v>46069</v>
      </c>
      <c r="I39" s="17">
        <f t="shared" si="6"/>
        <v>46105</v>
      </c>
      <c r="J39" s="16">
        <f t="shared" si="7"/>
        <v>36</v>
      </c>
      <c r="K39" s="3">
        <v>12000</v>
      </c>
      <c r="L39" s="3">
        <f t="shared" si="2"/>
        <v>7200</v>
      </c>
      <c r="M39" s="20" t="b">
        <f t="shared" si="8"/>
        <v>1</v>
      </c>
      <c r="O39" s="6" t="str">
        <f t="shared" si="3"/>
        <v>Open</v>
      </c>
      <c r="P39" s="3">
        <f t="shared" si="4"/>
        <v>36</v>
      </c>
      <c r="Q39" s="3">
        <v>200</v>
      </c>
      <c r="R39" s="3">
        <v>200</v>
      </c>
      <c r="S39" s="3">
        <v>200</v>
      </c>
      <c r="T39" s="3">
        <v>200</v>
      </c>
      <c r="U39" s="3">
        <v>200</v>
      </c>
      <c r="V39" s="3">
        <v>200</v>
      </c>
      <c r="W39" s="3">
        <v>200</v>
      </c>
      <c r="X39" s="3">
        <v>200</v>
      </c>
      <c r="Y39" s="3">
        <v>200</v>
      </c>
      <c r="Z39" s="3">
        <v>200</v>
      </c>
      <c r="AA39" s="3">
        <v>200</v>
      </c>
      <c r="AB39" s="3">
        <v>200</v>
      </c>
      <c r="AC39" s="3">
        <v>200</v>
      </c>
      <c r="AD39" s="3">
        <v>200</v>
      </c>
      <c r="AE39" s="3">
        <v>200</v>
      </c>
      <c r="AF39" s="3">
        <v>200</v>
      </c>
      <c r="AG39" s="3">
        <v>200</v>
      </c>
      <c r="AH39" s="3">
        <v>200</v>
      </c>
      <c r="AI39" s="3">
        <v>200</v>
      </c>
      <c r="AJ39" s="3">
        <v>200</v>
      </c>
      <c r="AK39" s="3">
        <v>200</v>
      </c>
      <c r="AL39" s="3">
        <v>200</v>
      </c>
      <c r="AM39" s="3">
        <v>200</v>
      </c>
      <c r="AN39" s="3">
        <v>200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</row>
    <row r="40" spans="1:76" ht="15.6" x14ac:dyDescent="0.3">
      <c r="A40" s="3" t="s">
        <v>70</v>
      </c>
      <c r="B40" s="3" t="s">
        <v>71</v>
      </c>
      <c r="C40" s="3" t="s">
        <v>92</v>
      </c>
      <c r="D40" s="3"/>
      <c r="E40" s="4" t="s">
        <v>83</v>
      </c>
      <c r="F40" s="3"/>
      <c r="G40" s="5">
        <v>46045</v>
      </c>
      <c r="H40" s="17">
        <v>46069</v>
      </c>
      <c r="I40" s="17">
        <f t="shared" si="6"/>
        <v>46105</v>
      </c>
      <c r="J40" s="16">
        <f t="shared" si="7"/>
        <v>36</v>
      </c>
      <c r="K40" s="3">
        <v>12000</v>
      </c>
      <c r="L40" s="3">
        <f t="shared" si="2"/>
        <v>7200</v>
      </c>
      <c r="M40" s="20" t="b">
        <f t="shared" si="8"/>
        <v>1</v>
      </c>
      <c r="O40" s="6" t="str">
        <f t="shared" si="3"/>
        <v>Open</v>
      </c>
      <c r="P40" s="3">
        <f t="shared" si="4"/>
        <v>36</v>
      </c>
      <c r="Q40" s="3">
        <v>200</v>
      </c>
      <c r="R40" s="3">
        <v>200</v>
      </c>
      <c r="S40" s="3">
        <v>200</v>
      </c>
      <c r="T40" s="3">
        <v>200</v>
      </c>
      <c r="U40" s="3">
        <v>200</v>
      </c>
      <c r="V40" s="3">
        <v>200</v>
      </c>
      <c r="W40" s="3">
        <v>200</v>
      </c>
      <c r="X40" s="3">
        <v>200</v>
      </c>
      <c r="Y40" s="3">
        <v>200</v>
      </c>
      <c r="Z40" s="3">
        <v>200</v>
      </c>
      <c r="AA40" s="3">
        <v>200</v>
      </c>
      <c r="AB40" s="3">
        <v>200</v>
      </c>
      <c r="AC40" s="3">
        <v>200</v>
      </c>
      <c r="AD40" s="3">
        <v>200</v>
      </c>
      <c r="AE40" s="3">
        <v>200</v>
      </c>
      <c r="AF40" s="3">
        <v>200</v>
      </c>
      <c r="AG40" s="3">
        <v>200</v>
      </c>
      <c r="AH40" s="3">
        <v>200</v>
      </c>
      <c r="AI40" s="3">
        <v>200</v>
      </c>
      <c r="AJ40" s="3">
        <v>200</v>
      </c>
      <c r="AK40" s="3">
        <v>200</v>
      </c>
      <c r="AL40" s="3">
        <v>200</v>
      </c>
      <c r="AM40" s="3">
        <v>200</v>
      </c>
      <c r="AN40" s="3">
        <v>200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</row>
    <row r="41" spans="1:76" ht="15.6" x14ac:dyDescent="0.3">
      <c r="A41" s="3" t="s">
        <v>70</v>
      </c>
      <c r="B41" s="3" t="s">
        <v>71</v>
      </c>
      <c r="C41" s="3" t="s">
        <v>92</v>
      </c>
      <c r="D41" s="3"/>
      <c r="E41" s="4" t="s">
        <v>94</v>
      </c>
      <c r="F41" s="3"/>
      <c r="G41" s="5">
        <v>46045</v>
      </c>
      <c r="H41" s="17">
        <v>46069</v>
      </c>
      <c r="I41" s="17">
        <f t="shared" ref="I41:I72" si="9">G41+60</f>
        <v>46105</v>
      </c>
      <c r="J41" s="16">
        <f t="shared" ref="J41:J72" si="10">I41-H41</f>
        <v>36</v>
      </c>
      <c r="K41" s="3">
        <v>12000</v>
      </c>
      <c r="L41" s="3">
        <f t="shared" si="2"/>
        <v>7200</v>
      </c>
      <c r="M41" s="20" t="b">
        <f t="shared" si="8"/>
        <v>1</v>
      </c>
      <c r="O41" s="6" t="str">
        <f t="shared" si="3"/>
        <v>Open</v>
      </c>
      <c r="P41" s="3">
        <f t="shared" si="4"/>
        <v>36</v>
      </c>
      <c r="Q41" s="3">
        <v>200</v>
      </c>
      <c r="R41" s="3">
        <v>200</v>
      </c>
      <c r="S41" s="3">
        <v>200</v>
      </c>
      <c r="T41" s="3">
        <v>200</v>
      </c>
      <c r="U41" s="3">
        <v>200</v>
      </c>
      <c r="V41" s="3">
        <v>200</v>
      </c>
      <c r="W41" s="3">
        <v>200</v>
      </c>
      <c r="X41" s="3">
        <v>200</v>
      </c>
      <c r="Y41" s="3">
        <v>200</v>
      </c>
      <c r="Z41" s="3">
        <v>200</v>
      </c>
      <c r="AA41" s="3">
        <v>200</v>
      </c>
      <c r="AB41" s="3">
        <v>200</v>
      </c>
      <c r="AC41" s="3">
        <v>200</v>
      </c>
      <c r="AD41" s="3">
        <v>200</v>
      </c>
      <c r="AE41" s="3">
        <v>200</v>
      </c>
      <c r="AF41" s="3">
        <v>200</v>
      </c>
      <c r="AG41" s="3">
        <v>200</v>
      </c>
      <c r="AH41" s="3">
        <v>200</v>
      </c>
      <c r="AI41" s="3">
        <v>200</v>
      </c>
      <c r="AJ41" s="3">
        <v>200</v>
      </c>
      <c r="AK41" s="3">
        <v>200</v>
      </c>
      <c r="AL41" s="3">
        <v>200</v>
      </c>
      <c r="AM41" s="3">
        <v>200</v>
      </c>
      <c r="AN41" s="3">
        <v>200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</row>
    <row r="42" spans="1:76" ht="15.6" x14ac:dyDescent="0.3">
      <c r="A42" s="3" t="s">
        <v>70</v>
      </c>
      <c r="B42" s="3" t="s">
        <v>71</v>
      </c>
      <c r="C42" s="3" t="s">
        <v>92</v>
      </c>
      <c r="D42" s="3"/>
      <c r="E42" s="4" t="s">
        <v>95</v>
      </c>
      <c r="F42" s="3"/>
      <c r="G42" s="5">
        <v>46045</v>
      </c>
      <c r="H42" s="17">
        <v>46069</v>
      </c>
      <c r="I42" s="17">
        <f t="shared" si="9"/>
        <v>46105</v>
      </c>
      <c r="J42" s="16">
        <f t="shared" si="10"/>
        <v>36</v>
      </c>
      <c r="K42" s="3">
        <v>12000</v>
      </c>
      <c r="L42" s="3">
        <f t="shared" si="2"/>
        <v>7200</v>
      </c>
      <c r="M42" s="20" t="b">
        <f t="shared" si="8"/>
        <v>1</v>
      </c>
      <c r="O42" s="6" t="str">
        <f t="shared" si="3"/>
        <v>Open</v>
      </c>
      <c r="P42" s="3">
        <f t="shared" si="4"/>
        <v>36</v>
      </c>
      <c r="Q42" s="3">
        <v>200</v>
      </c>
      <c r="R42" s="3">
        <v>200</v>
      </c>
      <c r="S42" s="3">
        <v>200</v>
      </c>
      <c r="T42" s="3">
        <v>200</v>
      </c>
      <c r="U42" s="3">
        <v>200</v>
      </c>
      <c r="V42" s="3">
        <v>200</v>
      </c>
      <c r="W42" s="3">
        <v>200</v>
      </c>
      <c r="X42" s="3">
        <v>200</v>
      </c>
      <c r="Y42" s="3">
        <v>200</v>
      </c>
      <c r="Z42" s="3">
        <v>200</v>
      </c>
      <c r="AA42" s="3">
        <v>200</v>
      </c>
      <c r="AB42" s="3">
        <v>200</v>
      </c>
      <c r="AC42" s="3">
        <v>200</v>
      </c>
      <c r="AD42" s="3">
        <v>200</v>
      </c>
      <c r="AE42" s="3">
        <v>200</v>
      </c>
      <c r="AF42" s="3">
        <v>200</v>
      </c>
      <c r="AG42" s="3">
        <v>200</v>
      </c>
      <c r="AH42" s="3">
        <v>200</v>
      </c>
      <c r="AI42" s="3">
        <v>200</v>
      </c>
      <c r="AJ42" s="3">
        <v>200</v>
      </c>
      <c r="AK42" s="3">
        <v>200</v>
      </c>
      <c r="AL42" s="3">
        <v>200</v>
      </c>
      <c r="AM42" s="3">
        <v>200</v>
      </c>
      <c r="AN42" s="3">
        <v>200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</row>
    <row r="43" spans="1:76" ht="15.6" x14ac:dyDescent="0.3">
      <c r="A43" s="3" t="s">
        <v>70</v>
      </c>
      <c r="B43" s="3" t="s">
        <v>71</v>
      </c>
      <c r="C43" s="3" t="s">
        <v>92</v>
      </c>
      <c r="D43" s="3"/>
      <c r="E43" s="4" t="s">
        <v>96</v>
      </c>
      <c r="F43" s="3"/>
      <c r="G43" s="5">
        <v>46045</v>
      </c>
      <c r="H43" s="17">
        <v>46069</v>
      </c>
      <c r="I43" s="17">
        <f t="shared" si="9"/>
        <v>46105</v>
      </c>
      <c r="J43" s="16">
        <f t="shared" si="10"/>
        <v>36</v>
      </c>
      <c r="K43" s="3">
        <v>6000</v>
      </c>
      <c r="L43" s="3">
        <f t="shared" si="2"/>
        <v>3600</v>
      </c>
      <c r="M43" s="20" t="b">
        <f t="shared" si="8"/>
        <v>1</v>
      </c>
      <c r="O43" s="6" t="str">
        <f t="shared" si="3"/>
        <v>Open</v>
      </c>
      <c r="P43" s="3">
        <f t="shared" si="4"/>
        <v>36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  <c r="AJ43" s="3">
        <v>100</v>
      </c>
      <c r="AK43" s="3">
        <v>100</v>
      </c>
      <c r="AL43" s="3">
        <v>100</v>
      </c>
      <c r="AM43" s="3">
        <v>100</v>
      </c>
      <c r="AN43" s="3">
        <v>100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</row>
    <row r="44" spans="1:76" ht="15.6" x14ac:dyDescent="0.3">
      <c r="A44" s="3" t="s">
        <v>70</v>
      </c>
      <c r="B44" s="3" t="s">
        <v>71</v>
      </c>
      <c r="C44" s="3" t="s">
        <v>92</v>
      </c>
      <c r="D44" s="3"/>
      <c r="E44" s="4" t="s">
        <v>97</v>
      </c>
      <c r="F44" s="3"/>
      <c r="G44" s="5">
        <v>46045</v>
      </c>
      <c r="H44" s="17">
        <v>46069</v>
      </c>
      <c r="I44" s="17">
        <f t="shared" si="9"/>
        <v>46105</v>
      </c>
      <c r="J44" s="16">
        <f t="shared" si="10"/>
        <v>36</v>
      </c>
      <c r="K44" s="3">
        <v>12000</v>
      </c>
      <c r="L44" s="3">
        <f t="shared" si="2"/>
        <v>7200</v>
      </c>
      <c r="M44" s="20" t="b">
        <f t="shared" si="8"/>
        <v>1</v>
      </c>
      <c r="O44" s="6" t="str">
        <f t="shared" si="3"/>
        <v>Open</v>
      </c>
      <c r="P44" s="3">
        <f t="shared" si="4"/>
        <v>36</v>
      </c>
      <c r="Q44" s="3">
        <v>200</v>
      </c>
      <c r="R44" s="3">
        <v>200</v>
      </c>
      <c r="S44" s="3">
        <v>200</v>
      </c>
      <c r="T44" s="3">
        <v>200</v>
      </c>
      <c r="U44" s="3">
        <v>200</v>
      </c>
      <c r="V44" s="3">
        <v>200</v>
      </c>
      <c r="W44" s="3">
        <v>200</v>
      </c>
      <c r="X44" s="3">
        <v>200</v>
      </c>
      <c r="Y44" s="3">
        <v>200</v>
      </c>
      <c r="Z44" s="3">
        <v>200</v>
      </c>
      <c r="AA44" s="3">
        <v>200</v>
      </c>
      <c r="AB44" s="3">
        <v>200</v>
      </c>
      <c r="AC44" s="3">
        <v>200</v>
      </c>
      <c r="AD44" s="3">
        <v>200</v>
      </c>
      <c r="AE44" s="3">
        <v>200</v>
      </c>
      <c r="AF44" s="3">
        <v>200</v>
      </c>
      <c r="AG44" s="3">
        <v>200</v>
      </c>
      <c r="AH44" s="3">
        <v>200</v>
      </c>
      <c r="AI44" s="3">
        <v>200</v>
      </c>
      <c r="AJ44" s="3">
        <v>200</v>
      </c>
      <c r="AK44" s="3">
        <v>200</v>
      </c>
      <c r="AL44" s="3">
        <v>200</v>
      </c>
      <c r="AM44" s="3">
        <v>200</v>
      </c>
      <c r="AN44" s="3">
        <v>200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</row>
    <row r="45" spans="1:76" ht="15.6" x14ac:dyDescent="0.3">
      <c r="A45" s="3" t="s">
        <v>70</v>
      </c>
      <c r="B45" s="3" t="s">
        <v>71</v>
      </c>
      <c r="C45" s="3" t="s">
        <v>92</v>
      </c>
      <c r="D45" s="3"/>
      <c r="E45" s="4" t="s">
        <v>98</v>
      </c>
      <c r="F45" s="3"/>
      <c r="G45" s="5">
        <v>46045</v>
      </c>
      <c r="H45" s="17">
        <v>46069</v>
      </c>
      <c r="I45" s="17">
        <f t="shared" si="9"/>
        <v>46105</v>
      </c>
      <c r="J45" s="16">
        <f t="shared" si="10"/>
        <v>36</v>
      </c>
      <c r="K45" s="3">
        <v>6000</v>
      </c>
      <c r="L45" s="3">
        <f t="shared" si="2"/>
        <v>3600</v>
      </c>
      <c r="M45" s="20" t="b">
        <f t="shared" si="8"/>
        <v>1</v>
      </c>
      <c r="O45" s="6" t="str">
        <f t="shared" si="3"/>
        <v>Open</v>
      </c>
      <c r="P45" s="3">
        <f t="shared" si="4"/>
        <v>36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  <c r="AM45" s="3">
        <v>100</v>
      </c>
      <c r="AN45" s="3">
        <v>100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  <row r="46" spans="1:76" ht="15.6" x14ac:dyDescent="0.3">
      <c r="A46" s="3" t="s">
        <v>70</v>
      </c>
      <c r="B46" s="3" t="s">
        <v>71</v>
      </c>
      <c r="C46" s="3" t="s">
        <v>109</v>
      </c>
      <c r="D46" s="3"/>
      <c r="E46" s="4" t="s">
        <v>110</v>
      </c>
      <c r="F46" s="3"/>
      <c r="G46" s="5">
        <v>46045</v>
      </c>
      <c r="H46" s="17">
        <v>46069</v>
      </c>
      <c r="I46" s="17">
        <f t="shared" si="9"/>
        <v>46105</v>
      </c>
      <c r="J46" s="16">
        <f t="shared" si="10"/>
        <v>36</v>
      </c>
      <c r="K46" s="3">
        <v>12000</v>
      </c>
      <c r="L46" s="3">
        <f t="shared" si="2"/>
        <v>7200</v>
      </c>
      <c r="M46" s="20" t="b">
        <f t="shared" si="8"/>
        <v>1</v>
      </c>
      <c r="O46" s="6" t="str">
        <f t="shared" si="3"/>
        <v>Open</v>
      </c>
      <c r="P46" s="3">
        <f t="shared" si="4"/>
        <v>36</v>
      </c>
      <c r="Q46" s="3">
        <v>200</v>
      </c>
      <c r="R46" s="3">
        <v>200</v>
      </c>
      <c r="S46" s="3">
        <v>200</v>
      </c>
      <c r="T46" s="3">
        <v>200</v>
      </c>
      <c r="U46" s="3">
        <v>200</v>
      </c>
      <c r="V46" s="3">
        <v>200</v>
      </c>
      <c r="W46" s="3">
        <v>200</v>
      </c>
      <c r="X46" s="3">
        <v>200</v>
      </c>
      <c r="Y46" s="3">
        <v>200</v>
      </c>
      <c r="Z46" s="3">
        <v>200</v>
      </c>
      <c r="AA46" s="3">
        <v>200</v>
      </c>
      <c r="AB46" s="3">
        <v>200</v>
      </c>
      <c r="AC46" s="3">
        <v>200</v>
      </c>
      <c r="AD46" s="3">
        <v>200</v>
      </c>
      <c r="AE46" s="3">
        <v>200</v>
      </c>
      <c r="AF46" s="3">
        <v>200</v>
      </c>
      <c r="AG46" s="3">
        <v>200</v>
      </c>
      <c r="AH46" s="3">
        <v>200</v>
      </c>
      <c r="AI46" s="3">
        <v>200</v>
      </c>
      <c r="AJ46" s="3">
        <v>200</v>
      </c>
      <c r="AK46" s="3">
        <v>200</v>
      </c>
      <c r="AL46" s="3">
        <v>200</v>
      </c>
      <c r="AM46" s="3">
        <v>200</v>
      </c>
      <c r="AN46" s="3">
        <v>200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1:76" ht="15.6" x14ac:dyDescent="0.3">
      <c r="A47" s="3" t="s">
        <v>70</v>
      </c>
      <c r="B47" s="3" t="s">
        <v>71</v>
      </c>
      <c r="C47" s="3" t="s">
        <v>109</v>
      </c>
      <c r="D47" s="3"/>
      <c r="E47" s="4" t="s">
        <v>111</v>
      </c>
      <c r="F47" s="3"/>
      <c r="G47" s="5">
        <v>46045</v>
      </c>
      <c r="H47" s="17">
        <v>46069</v>
      </c>
      <c r="I47" s="17">
        <f t="shared" si="9"/>
        <v>46105</v>
      </c>
      <c r="J47" s="16">
        <f t="shared" si="10"/>
        <v>36</v>
      </c>
      <c r="K47" s="3">
        <v>12000</v>
      </c>
      <c r="L47" s="3">
        <f t="shared" si="2"/>
        <v>7200</v>
      </c>
      <c r="M47" s="20" t="b">
        <f t="shared" si="8"/>
        <v>1</v>
      </c>
      <c r="O47" s="6" t="str">
        <f t="shared" si="3"/>
        <v>Open</v>
      </c>
      <c r="P47" s="3">
        <f t="shared" si="4"/>
        <v>36</v>
      </c>
      <c r="Q47" s="3">
        <v>200</v>
      </c>
      <c r="R47" s="3">
        <v>200</v>
      </c>
      <c r="S47" s="3">
        <v>200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200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200</v>
      </c>
      <c r="AM47" s="3">
        <v>200</v>
      </c>
      <c r="AN47" s="3">
        <v>200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</row>
    <row r="48" spans="1:76" ht="15.6" x14ac:dyDescent="0.3">
      <c r="A48" s="3" t="s">
        <v>70</v>
      </c>
      <c r="B48" s="3" t="s">
        <v>71</v>
      </c>
      <c r="C48" s="3" t="s">
        <v>109</v>
      </c>
      <c r="D48" s="3"/>
      <c r="E48" s="4" t="s">
        <v>83</v>
      </c>
      <c r="F48" s="3"/>
      <c r="G48" s="5">
        <v>46045</v>
      </c>
      <c r="H48" s="17">
        <v>46069</v>
      </c>
      <c r="I48" s="17">
        <f t="shared" si="9"/>
        <v>46105</v>
      </c>
      <c r="J48" s="16">
        <f t="shared" si="10"/>
        <v>36</v>
      </c>
      <c r="K48" s="3">
        <v>12000</v>
      </c>
      <c r="L48" s="3">
        <f t="shared" si="2"/>
        <v>7200</v>
      </c>
      <c r="M48" s="20" t="b">
        <f t="shared" si="8"/>
        <v>1</v>
      </c>
      <c r="O48" s="6" t="str">
        <f t="shared" si="3"/>
        <v>Open</v>
      </c>
      <c r="P48" s="3">
        <f t="shared" si="4"/>
        <v>36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  <c r="AI48" s="3">
        <v>200</v>
      </c>
      <c r="AJ48" s="3">
        <v>200</v>
      </c>
      <c r="AK48" s="3">
        <v>200</v>
      </c>
      <c r="AL48" s="3">
        <v>200</v>
      </c>
      <c r="AM48" s="3">
        <v>200</v>
      </c>
      <c r="AN48" s="3">
        <v>200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</row>
    <row r="49" spans="1:76" ht="15.6" x14ac:dyDescent="0.3">
      <c r="A49" s="3" t="s">
        <v>70</v>
      </c>
      <c r="B49" s="3" t="s">
        <v>71</v>
      </c>
      <c r="C49" s="3" t="s">
        <v>109</v>
      </c>
      <c r="D49" s="3"/>
      <c r="E49" s="4" t="s">
        <v>112</v>
      </c>
      <c r="F49" s="3"/>
      <c r="G49" s="5">
        <v>46045</v>
      </c>
      <c r="H49" s="17">
        <v>46069</v>
      </c>
      <c r="I49" s="17">
        <f t="shared" si="9"/>
        <v>46105</v>
      </c>
      <c r="J49" s="16">
        <f t="shared" si="10"/>
        <v>36</v>
      </c>
      <c r="K49" s="3">
        <v>12000</v>
      </c>
      <c r="L49" s="3">
        <f t="shared" si="2"/>
        <v>7200</v>
      </c>
      <c r="M49" s="20" t="b">
        <f t="shared" si="8"/>
        <v>1</v>
      </c>
      <c r="O49" s="6" t="str">
        <f t="shared" si="3"/>
        <v>Open</v>
      </c>
      <c r="P49" s="3">
        <f t="shared" si="4"/>
        <v>36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200</v>
      </c>
      <c r="AD49" s="3">
        <v>200</v>
      </c>
      <c r="AE49" s="3">
        <v>200</v>
      </c>
      <c r="AF49" s="3">
        <v>200</v>
      </c>
      <c r="AG49" s="3">
        <v>200</v>
      </c>
      <c r="AH49" s="3">
        <v>200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</row>
    <row r="50" spans="1:76" ht="15.6" x14ac:dyDescent="0.3">
      <c r="A50" s="3" t="s">
        <v>70</v>
      </c>
      <c r="B50" s="3" t="s">
        <v>71</v>
      </c>
      <c r="C50" s="3" t="s">
        <v>109</v>
      </c>
      <c r="D50" s="3"/>
      <c r="E50" s="4" t="s">
        <v>113</v>
      </c>
      <c r="F50" s="3"/>
      <c r="G50" s="5">
        <v>46045</v>
      </c>
      <c r="H50" s="17">
        <v>46069</v>
      </c>
      <c r="I50" s="17">
        <f t="shared" si="9"/>
        <v>46105</v>
      </c>
      <c r="J50" s="16">
        <f t="shared" si="10"/>
        <v>36</v>
      </c>
      <c r="K50" s="3">
        <v>6000</v>
      </c>
      <c r="L50" s="3">
        <f t="shared" si="2"/>
        <v>3600</v>
      </c>
      <c r="M50" s="20" t="b">
        <f t="shared" si="8"/>
        <v>1</v>
      </c>
      <c r="O50" s="6" t="str">
        <f t="shared" si="3"/>
        <v>Open</v>
      </c>
      <c r="P50" s="3">
        <f t="shared" si="4"/>
        <v>36</v>
      </c>
      <c r="Q50" s="3">
        <v>100</v>
      </c>
      <c r="R50" s="3">
        <v>100</v>
      </c>
      <c r="S50" s="3">
        <v>100</v>
      </c>
      <c r="T50" s="3">
        <v>100</v>
      </c>
      <c r="U50" s="3">
        <v>100</v>
      </c>
      <c r="V50" s="3">
        <v>100</v>
      </c>
      <c r="W50" s="3">
        <v>100</v>
      </c>
      <c r="X50" s="3">
        <v>100</v>
      </c>
      <c r="Y50" s="3">
        <v>100</v>
      </c>
      <c r="Z50" s="3">
        <v>100</v>
      </c>
      <c r="AA50" s="3">
        <v>100</v>
      </c>
      <c r="AB50" s="3">
        <v>100</v>
      </c>
      <c r="AC50" s="3">
        <v>100</v>
      </c>
      <c r="AD50" s="3">
        <v>100</v>
      </c>
      <c r="AE50" s="3">
        <v>100</v>
      </c>
      <c r="AF50" s="3">
        <v>100</v>
      </c>
      <c r="AG50" s="3">
        <v>100</v>
      </c>
      <c r="AH50" s="3">
        <v>100</v>
      </c>
      <c r="AI50" s="3">
        <v>100</v>
      </c>
      <c r="AJ50" s="3">
        <v>100</v>
      </c>
      <c r="AK50" s="3">
        <v>100</v>
      </c>
      <c r="AL50" s="3">
        <v>100</v>
      </c>
      <c r="AM50" s="3">
        <v>100</v>
      </c>
      <c r="AN50" s="3">
        <v>100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</row>
    <row r="51" spans="1:76" ht="15.6" x14ac:dyDescent="0.3">
      <c r="A51" s="3" t="s">
        <v>70</v>
      </c>
      <c r="B51" s="3" t="s">
        <v>71</v>
      </c>
      <c r="C51" s="3" t="s">
        <v>144</v>
      </c>
      <c r="D51" s="3"/>
      <c r="E51" s="4" t="s">
        <v>134</v>
      </c>
      <c r="F51" s="3"/>
      <c r="G51" s="5">
        <v>46046</v>
      </c>
      <c r="H51" s="17">
        <v>46069</v>
      </c>
      <c r="I51" s="17">
        <f t="shared" si="9"/>
        <v>46106</v>
      </c>
      <c r="J51" s="16">
        <f t="shared" si="10"/>
        <v>37</v>
      </c>
      <c r="K51" s="3">
        <v>12000</v>
      </c>
      <c r="L51" s="3">
        <f t="shared" si="2"/>
        <v>7400</v>
      </c>
      <c r="M51" s="20" t="b">
        <f t="shared" si="8"/>
        <v>1</v>
      </c>
      <c r="O51" s="6" t="str">
        <f t="shared" si="3"/>
        <v>Open</v>
      </c>
      <c r="P51" s="3">
        <f t="shared" si="4"/>
        <v>37</v>
      </c>
      <c r="Q51" s="3">
        <v>200</v>
      </c>
      <c r="R51" s="3">
        <v>200</v>
      </c>
      <c r="S51" s="3">
        <v>200</v>
      </c>
      <c r="T51" s="3">
        <v>200</v>
      </c>
      <c r="U51" s="3">
        <v>200</v>
      </c>
      <c r="V51" s="3">
        <v>200</v>
      </c>
      <c r="W51" s="3">
        <v>200</v>
      </c>
      <c r="X51" s="3">
        <v>200</v>
      </c>
      <c r="Y51" s="3">
        <v>200</v>
      </c>
      <c r="Z51" s="3">
        <v>200</v>
      </c>
      <c r="AA51" s="3">
        <v>200</v>
      </c>
      <c r="AB51" s="3">
        <v>200</v>
      </c>
      <c r="AC51" s="3">
        <v>200</v>
      </c>
      <c r="AD51" s="3">
        <v>200</v>
      </c>
      <c r="AE51" s="3">
        <v>200</v>
      </c>
      <c r="AF51" s="3">
        <v>200</v>
      </c>
      <c r="AG51" s="3">
        <v>200</v>
      </c>
      <c r="AH51" s="3">
        <v>200</v>
      </c>
      <c r="AI51" s="3">
        <v>200</v>
      </c>
      <c r="AJ51" s="3">
        <v>200</v>
      </c>
      <c r="AK51" s="3">
        <v>200</v>
      </c>
      <c r="AL51" s="3">
        <v>200</v>
      </c>
      <c r="AM51" s="3">
        <v>200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</row>
    <row r="52" spans="1:76" ht="15.6" x14ac:dyDescent="0.3">
      <c r="A52" s="3" t="s">
        <v>70</v>
      </c>
      <c r="B52" s="3" t="s">
        <v>71</v>
      </c>
      <c r="C52" s="3" t="s">
        <v>144</v>
      </c>
      <c r="D52" s="3"/>
      <c r="E52" s="4" t="s">
        <v>134</v>
      </c>
      <c r="F52" s="3"/>
      <c r="G52" s="5">
        <v>46048</v>
      </c>
      <c r="H52" s="17">
        <v>46069</v>
      </c>
      <c r="I52" s="17">
        <f t="shared" si="9"/>
        <v>46108</v>
      </c>
      <c r="J52" s="16">
        <f t="shared" si="10"/>
        <v>39</v>
      </c>
      <c r="K52" s="3">
        <v>12000</v>
      </c>
      <c r="L52" s="3">
        <f t="shared" si="2"/>
        <v>7800</v>
      </c>
      <c r="M52" s="20" t="b">
        <f t="shared" si="8"/>
        <v>1</v>
      </c>
      <c r="O52" s="6" t="str">
        <f t="shared" si="3"/>
        <v>Open</v>
      </c>
      <c r="P52" s="3">
        <f t="shared" si="4"/>
        <v>39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</row>
    <row r="53" spans="1:76" ht="15.6" x14ac:dyDescent="0.3">
      <c r="A53" s="3" t="s">
        <v>70</v>
      </c>
      <c r="B53" s="3" t="s">
        <v>71</v>
      </c>
      <c r="C53" s="3" t="s">
        <v>144</v>
      </c>
      <c r="D53" s="3"/>
      <c r="E53" s="4" t="s">
        <v>135</v>
      </c>
      <c r="F53" s="3"/>
      <c r="G53" s="5">
        <v>46048</v>
      </c>
      <c r="H53" s="17">
        <v>46069</v>
      </c>
      <c r="I53" s="17">
        <f t="shared" si="9"/>
        <v>46108</v>
      </c>
      <c r="J53" s="16">
        <f t="shared" si="10"/>
        <v>39</v>
      </c>
      <c r="K53" s="3">
        <v>12000</v>
      </c>
      <c r="L53" s="3">
        <f t="shared" si="2"/>
        <v>7800</v>
      </c>
      <c r="M53" s="20" t="b">
        <f t="shared" si="8"/>
        <v>1</v>
      </c>
      <c r="O53" s="6" t="str">
        <f t="shared" si="3"/>
        <v>Open</v>
      </c>
      <c r="P53" s="3">
        <f t="shared" si="4"/>
        <v>39</v>
      </c>
      <c r="Q53" s="3">
        <v>200</v>
      </c>
      <c r="R53" s="3">
        <v>200</v>
      </c>
      <c r="S53" s="3">
        <v>200</v>
      </c>
      <c r="T53" s="3">
        <v>200</v>
      </c>
      <c r="U53" s="3">
        <v>200</v>
      </c>
      <c r="V53" s="3">
        <v>200</v>
      </c>
      <c r="W53" s="3">
        <v>200</v>
      </c>
      <c r="X53" s="3">
        <v>200</v>
      </c>
      <c r="Y53" s="3">
        <v>200</v>
      </c>
      <c r="Z53" s="3">
        <v>200</v>
      </c>
      <c r="AA53" s="3">
        <v>200</v>
      </c>
      <c r="AB53" s="3">
        <v>200</v>
      </c>
      <c r="AC53" s="3">
        <v>200</v>
      </c>
      <c r="AD53" s="3">
        <v>200</v>
      </c>
      <c r="AE53" s="3">
        <v>200</v>
      </c>
      <c r="AF53" s="3">
        <v>200</v>
      </c>
      <c r="AG53" s="3">
        <v>200</v>
      </c>
      <c r="AH53" s="3">
        <v>200</v>
      </c>
      <c r="AI53" s="3">
        <v>200</v>
      </c>
      <c r="AJ53" s="3">
        <v>200</v>
      </c>
      <c r="AK53" s="3">
        <v>200</v>
      </c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</row>
    <row r="54" spans="1:76" ht="15.6" x14ac:dyDescent="0.3">
      <c r="A54" s="3" t="s">
        <v>70</v>
      </c>
      <c r="B54" s="3" t="s">
        <v>71</v>
      </c>
      <c r="C54" s="3" t="s">
        <v>127</v>
      </c>
      <c r="D54" s="3"/>
      <c r="E54" s="4" t="s">
        <v>128</v>
      </c>
      <c r="F54" s="3"/>
      <c r="G54" s="5">
        <v>46049</v>
      </c>
      <c r="H54" s="17">
        <v>46069</v>
      </c>
      <c r="I54" s="17">
        <f t="shared" si="9"/>
        <v>46109</v>
      </c>
      <c r="J54" s="16">
        <f t="shared" si="10"/>
        <v>40</v>
      </c>
      <c r="K54" s="3">
        <v>12000</v>
      </c>
      <c r="L54" s="3">
        <f t="shared" si="2"/>
        <v>8000</v>
      </c>
      <c r="M54" s="20" t="b">
        <f t="shared" si="8"/>
        <v>1</v>
      </c>
      <c r="O54" s="6" t="str">
        <f t="shared" si="3"/>
        <v>Open</v>
      </c>
      <c r="P54" s="3">
        <f t="shared" si="4"/>
        <v>40</v>
      </c>
      <c r="Q54" s="3">
        <v>200</v>
      </c>
      <c r="R54" s="3">
        <v>200</v>
      </c>
      <c r="S54" s="3">
        <v>200</v>
      </c>
      <c r="T54" s="3">
        <v>200</v>
      </c>
      <c r="U54" s="3">
        <v>200</v>
      </c>
      <c r="V54" s="3">
        <v>200</v>
      </c>
      <c r="W54" s="3">
        <v>200</v>
      </c>
      <c r="X54" s="3">
        <v>200</v>
      </c>
      <c r="Y54" s="3">
        <v>200</v>
      </c>
      <c r="Z54" s="3">
        <v>200</v>
      </c>
      <c r="AA54" s="3">
        <v>200</v>
      </c>
      <c r="AB54" s="3">
        <v>200</v>
      </c>
      <c r="AC54" s="3">
        <v>200</v>
      </c>
      <c r="AD54" s="3">
        <v>200</v>
      </c>
      <c r="AE54" s="3">
        <v>200</v>
      </c>
      <c r="AF54" s="3">
        <v>200</v>
      </c>
      <c r="AG54" s="3">
        <v>200</v>
      </c>
      <c r="AH54" s="3">
        <v>200</v>
      </c>
      <c r="AI54" s="3">
        <v>200</v>
      </c>
      <c r="AJ54" s="3">
        <v>200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</row>
    <row r="55" spans="1:76" ht="15.6" x14ac:dyDescent="0.3">
      <c r="A55" s="3" t="s">
        <v>70</v>
      </c>
      <c r="B55" s="3" t="s">
        <v>71</v>
      </c>
      <c r="C55" s="3" t="s">
        <v>127</v>
      </c>
      <c r="D55" s="3"/>
      <c r="E55" s="4" t="s">
        <v>129</v>
      </c>
      <c r="F55" s="3"/>
      <c r="G55" s="5">
        <v>46049</v>
      </c>
      <c r="H55" s="17">
        <v>46069</v>
      </c>
      <c r="I55" s="17">
        <f t="shared" si="9"/>
        <v>46109</v>
      </c>
      <c r="J55" s="16">
        <f t="shared" si="10"/>
        <v>40</v>
      </c>
      <c r="K55" s="3">
        <v>12000</v>
      </c>
      <c r="L55" s="3">
        <f t="shared" si="2"/>
        <v>8000</v>
      </c>
      <c r="M55" s="20" t="b">
        <f t="shared" si="8"/>
        <v>1</v>
      </c>
      <c r="O55" s="6" t="str">
        <f t="shared" si="3"/>
        <v>Open</v>
      </c>
      <c r="P55" s="3">
        <f t="shared" si="4"/>
        <v>40</v>
      </c>
      <c r="Q55" s="3">
        <v>200</v>
      </c>
      <c r="R55" s="3">
        <v>200</v>
      </c>
      <c r="S55" s="3">
        <v>200</v>
      </c>
      <c r="T55" s="3">
        <v>200</v>
      </c>
      <c r="U55" s="3">
        <v>200</v>
      </c>
      <c r="V55" s="3">
        <v>200</v>
      </c>
      <c r="W55" s="3">
        <v>200</v>
      </c>
      <c r="X55" s="3">
        <v>200</v>
      </c>
      <c r="Y55" s="3">
        <v>200</v>
      </c>
      <c r="Z55" s="3">
        <v>200</v>
      </c>
      <c r="AA55" s="3">
        <v>200</v>
      </c>
      <c r="AB55" s="3">
        <v>200</v>
      </c>
      <c r="AC55" s="3">
        <v>200</v>
      </c>
      <c r="AD55" s="3">
        <v>200</v>
      </c>
      <c r="AE55" s="3">
        <v>200</v>
      </c>
      <c r="AF55" s="3">
        <v>200</v>
      </c>
      <c r="AG55" s="3">
        <v>200</v>
      </c>
      <c r="AH55" s="3">
        <v>200</v>
      </c>
      <c r="AI55" s="3">
        <v>200</v>
      </c>
      <c r="AJ55" s="3">
        <v>200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</row>
    <row r="56" spans="1:76" ht="15.6" x14ac:dyDescent="0.3">
      <c r="A56" s="3" t="s">
        <v>70</v>
      </c>
      <c r="B56" s="3" t="s">
        <v>71</v>
      </c>
      <c r="C56" s="3" t="s">
        <v>127</v>
      </c>
      <c r="D56" s="3"/>
      <c r="E56" s="4" t="s">
        <v>130</v>
      </c>
      <c r="F56" s="3"/>
      <c r="G56" s="5">
        <v>46049</v>
      </c>
      <c r="H56" s="17">
        <v>46069</v>
      </c>
      <c r="I56" s="17">
        <f t="shared" si="9"/>
        <v>46109</v>
      </c>
      <c r="J56" s="16">
        <f t="shared" si="10"/>
        <v>40</v>
      </c>
      <c r="K56" s="3">
        <v>12000</v>
      </c>
      <c r="L56" s="3">
        <f t="shared" si="2"/>
        <v>8000</v>
      </c>
      <c r="M56" s="20" t="b">
        <f t="shared" si="8"/>
        <v>1</v>
      </c>
      <c r="O56" s="6" t="str">
        <f t="shared" si="3"/>
        <v>Open</v>
      </c>
      <c r="P56" s="3">
        <f t="shared" si="4"/>
        <v>40</v>
      </c>
      <c r="Q56" s="3">
        <v>200</v>
      </c>
      <c r="R56" s="3">
        <v>200</v>
      </c>
      <c r="S56" s="3">
        <v>200</v>
      </c>
      <c r="T56" s="3">
        <v>200</v>
      </c>
      <c r="U56" s="3">
        <v>200</v>
      </c>
      <c r="V56" s="3">
        <v>200</v>
      </c>
      <c r="W56" s="3">
        <v>200</v>
      </c>
      <c r="X56" s="3">
        <v>200</v>
      </c>
      <c r="Y56" s="3">
        <v>200</v>
      </c>
      <c r="Z56" s="3">
        <v>200</v>
      </c>
      <c r="AA56" s="3">
        <v>200</v>
      </c>
      <c r="AB56" s="3">
        <v>200</v>
      </c>
      <c r="AC56" s="3">
        <v>200</v>
      </c>
      <c r="AD56" s="3">
        <v>200</v>
      </c>
      <c r="AE56" s="3">
        <v>200</v>
      </c>
      <c r="AF56" s="3">
        <v>200</v>
      </c>
      <c r="AG56" s="3">
        <v>200</v>
      </c>
      <c r="AH56" s="3">
        <v>200</v>
      </c>
      <c r="AI56" s="3">
        <v>200</v>
      </c>
      <c r="AJ56" s="3">
        <v>200</v>
      </c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</row>
    <row r="57" spans="1:76" ht="15.6" x14ac:dyDescent="0.3">
      <c r="A57" s="3" t="s">
        <v>70</v>
      </c>
      <c r="B57" s="3" t="s">
        <v>71</v>
      </c>
      <c r="C57" s="3" t="s">
        <v>127</v>
      </c>
      <c r="D57" s="3"/>
      <c r="E57" s="4" t="s">
        <v>113</v>
      </c>
      <c r="F57" s="3"/>
      <c r="G57" s="5">
        <v>46049</v>
      </c>
      <c r="H57" s="17">
        <v>46069</v>
      </c>
      <c r="I57" s="17">
        <f t="shared" si="9"/>
        <v>46109</v>
      </c>
      <c r="J57" s="16">
        <f t="shared" si="10"/>
        <v>40</v>
      </c>
      <c r="K57" s="3">
        <v>6000</v>
      </c>
      <c r="L57" s="3">
        <f t="shared" si="2"/>
        <v>4000</v>
      </c>
      <c r="M57" s="20" t="b">
        <f t="shared" si="8"/>
        <v>1</v>
      </c>
      <c r="O57" s="6" t="str">
        <f t="shared" si="3"/>
        <v>Open</v>
      </c>
      <c r="P57" s="3">
        <f t="shared" si="4"/>
        <v>40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  <c r="AJ57" s="3">
        <v>100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</row>
    <row r="58" spans="1:76" ht="15.6" x14ac:dyDescent="0.3">
      <c r="A58" s="3" t="s">
        <v>70</v>
      </c>
      <c r="B58" s="3" t="s">
        <v>71</v>
      </c>
      <c r="C58" s="3" t="s">
        <v>127</v>
      </c>
      <c r="D58" s="3"/>
      <c r="E58" s="4" t="s">
        <v>80</v>
      </c>
      <c r="F58" s="3"/>
      <c r="G58" s="5">
        <v>46049</v>
      </c>
      <c r="H58" s="17">
        <v>46069</v>
      </c>
      <c r="I58" s="17">
        <f t="shared" si="9"/>
        <v>46109</v>
      </c>
      <c r="J58" s="16">
        <f t="shared" si="10"/>
        <v>40</v>
      </c>
      <c r="K58" s="3">
        <v>6000</v>
      </c>
      <c r="L58" s="3">
        <f t="shared" si="2"/>
        <v>4000</v>
      </c>
      <c r="M58" s="20" t="b">
        <f t="shared" si="8"/>
        <v>1</v>
      </c>
      <c r="O58" s="6" t="str">
        <f t="shared" si="3"/>
        <v>Open</v>
      </c>
      <c r="P58" s="3">
        <f t="shared" si="4"/>
        <v>40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  <c r="AI58" s="3">
        <v>100</v>
      </c>
      <c r="AJ58" s="3">
        <v>100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</row>
    <row r="59" spans="1:76" ht="15.6" x14ac:dyDescent="0.3">
      <c r="A59" s="3" t="s">
        <v>70</v>
      </c>
      <c r="B59" s="3" t="s">
        <v>71</v>
      </c>
      <c r="C59" s="3" t="s">
        <v>144</v>
      </c>
      <c r="D59" s="3"/>
      <c r="E59" s="4" t="s">
        <v>150</v>
      </c>
      <c r="F59" s="3"/>
      <c r="G59" s="5">
        <v>46049</v>
      </c>
      <c r="H59" s="17">
        <v>46069</v>
      </c>
      <c r="I59" s="17">
        <f t="shared" si="9"/>
        <v>46109</v>
      </c>
      <c r="J59" s="16">
        <f t="shared" si="10"/>
        <v>40</v>
      </c>
      <c r="K59" s="3">
        <v>12000</v>
      </c>
      <c r="L59" s="3">
        <f t="shared" si="2"/>
        <v>8000</v>
      </c>
      <c r="M59" s="20" t="b">
        <f t="shared" si="8"/>
        <v>1</v>
      </c>
      <c r="O59" s="6" t="str">
        <f t="shared" si="3"/>
        <v>Open</v>
      </c>
      <c r="P59" s="3">
        <f t="shared" si="4"/>
        <v>40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200</v>
      </c>
      <c r="AF59" s="3">
        <v>200</v>
      </c>
      <c r="AG59" s="3">
        <v>200</v>
      </c>
      <c r="AH59" s="3">
        <v>200</v>
      </c>
      <c r="AI59" s="3">
        <v>200</v>
      </c>
      <c r="AJ59" s="3">
        <v>200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</row>
    <row r="60" spans="1:76" ht="15.6" x14ac:dyDescent="0.3">
      <c r="A60" s="3" t="s">
        <v>70</v>
      </c>
      <c r="B60" s="3" t="s">
        <v>71</v>
      </c>
      <c r="C60" s="3" t="s">
        <v>144</v>
      </c>
      <c r="D60" s="3"/>
      <c r="E60" s="4" t="s">
        <v>151</v>
      </c>
      <c r="F60" s="3"/>
      <c r="G60" s="5">
        <v>46049</v>
      </c>
      <c r="H60" s="17">
        <v>46069</v>
      </c>
      <c r="I60" s="17">
        <f t="shared" si="9"/>
        <v>46109</v>
      </c>
      <c r="J60" s="16">
        <f t="shared" si="10"/>
        <v>40</v>
      </c>
      <c r="K60" s="3">
        <v>12000</v>
      </c>
      <c r="L60" s="3">
        <f t="shared" si="2"/>
        <v>8000</v>
      </c>
      <c r="M60" s="20" t="b">
        <f t="shared" si="8"/>
        <v>1</v>
      </c>
      <c r="O60" s="6" t="str">
        <f t="shared" si="3"/>
        <v>Open</v>
      </c>
      <c r="P60" s="3">
        <f t="shared" si="4"/>
        <v>40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200</v>
      </c>
      <c r="AD60" s="3">
        <v>200</v>
      </c>
      <c r="AE60" s="3">
        <v>200</v>
      </c>
      <c r="AF60" s="3">
        <v>200</v>
      </c>
      <c r="AG60" s="3">
        <v>200</v>
      </c>
      <c r="AH60" s="3">
        <v>200</v>
      </c>
      <c r="AI60" s="3">
        <v>200</v>
      </c>
      <c r="AJ60" s="3">
        <v>200</v>
      </c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</row>
    <row r="61" spans="1:76" ht="15.6" x14ac:dyDescent="0.3">
      <c r="A61" s="3" t="s">
        <v>70</v>
      </c>
      <c r="B61" s="3" t="s">
        <v>71</v>
      </c>
      <c r="C61" s="3" t="s">
        <v>70</v>
      </c>
      <c r="D61" s="3"/>
      <c r="E61" s="4" t="s">
        <v>90</v>
      </c>
      <c r="F61" s="3"/>
      <c r="G61" s="5">
        <v>46050</v>
      </c>
      <c r="H61" s="17">
        <v>46069</v>
      </c>
      <c r="I61" s="17">
        <f t="shared" si="9"/>
        <v>46110</v>
      </c>
      <c r="J61" s="16">
        <f t="shared" si="10"/>
        <v>41</v>
      </c>
      <c r="K61" s="3">
        <v>6000</v>
      </c>
      <c r="L61" s="3">
        <f t="shared" si="2"/>
        <v>4100</v>
      </c>
      <c r="M61" s="20" t="b">
        <f t="shared" si="8"/>
        <v>1</v>
      </c>
      <c r="O61" s="6" t="str">
        <f t="shared" si="3"/>
        <v>Open</v>
      </c>
      <c r="P61" s="3">
        <f t="shared" si="4"/>
        <v>41</v>
      </c>
      <c r="Q61" s="3">
        <v>100</v>
      </c>
      <c r="R61" s="3">
        <v>100</v>
      </c>
      <c r="S61" s="3">
        <v>100</v>
      </c>
      <c r="T61" s="3">
        <v>100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100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</row>
    <row r="62" spans="1:76" ht="15.6" x14ac:dyDescent="0.3">
      <c r="A62" s="3" t="s">
        <v>70</v>
      </c>
      <c r="B62" s="3" t="s">
        <v>71</v>
      </c>
      <c r="C62" s="3" t="s">
        <v>109</v>
      </c>
      <c r="D62" s="3"/>
      <c r="E62" s="4" t="s">
        <v>100</v>
      </c>
      <c r="F62" s="3"/>
      <c r="G62" s="5">
        <v>46050</v>
      </c>
      <c r="H62" s="17">
        <v>46069</v>
      </c>
      <c r="I62" s="17">
        <f t="shared" si="9"/>
        <v>46110</v>
      </c>
      <c r="J62" s="16">
        <f t="shared" si="10"/>
        <v>41</v>
      </c>
      <c r="K62" s="3">
        <v>12000</v>
      </c>
      <c r="L62" s="3">
        <f t="shared" si="2"/>
        <v>8200</v>
      </c>
      <c r="M62" s="20" t="b">
        <f t="shared" si="8"/>
        <v>1</v>
      </c>
      <c r="O62" s="6" t="str">
        <f t="shared" si="3"/>
        <v>Open</v>
      </c>
      <c r="P62" s="3">
        <f t="shared" si="4"/>
        <v>41</v>
      </c>
      <c r="Q62" s="3">
        <v>200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200</v>
      </c>
      <c r="AF62" s="3">
        <v>200</v>
      </c>
      <c r="AG62" s="3">
        <v>200</v>
      </c>
      <c r="AH62" s="3">
        <v>200</v>
      </c>
      <c r="AI62" s="3">
        <v>200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</row>
    <row r="63" spans="1:76" ht="15.6" x14ac:dyDescent="0.3">
      <c r="A63" s="3" t="s">
        <v>70</v>
      </c>
      <c r="B63" s="3" t="s">
        <v>71</v>
      </c>
      <c r="C63" s="3" t="s">
        <v>77</v>
      </c>
      <c r="D63" s="3"/>
      <c r="E63" s="4" t="s">
        <v>78</v>
      </c>
      <c r="F63" s="3"/>
      <c r="G63" s="5">
        <v>46051</v>
      </c>
      <c r="H63" s="17">
        <v>46069</v>
      </c>
      <c r="I63" s="17">
        <f t="shared" si="9"/>
        <v>46111</v>
      </c>
      <c r="J63" s="16">
        <f t="shared" si="10"/>
        <v>42</v>
      </c>
      <c r="K63" s="3">
        <v>12000</v>
      </c>
      <c r="L63" s="3">
        <f t="shared" si="2"/>
        <v>8400</v>
      </c>
      <c r="M63" s="20" t="b">
        <f t="shared" si="8"/>
        <v>1</v>
      </c>
      <c r="O63" s="6" t="str">
        <f t="shared" si="3"/>
        <v>Open</v>
      </c>
      <c r="P63" s="3">
        <f t="shared" si="4"/>
        <v>42</v>
      </c>
      <c r="Q63" s="3">
        <v>200</v>
      </c>
      <c r="R63" s="3">
        <v>200</v>
      </c>
      <c r="S63" s="3">
        <v>200</v>
      </c>
      <c r="T63" s="3">
        <v>200</v>
      </c>
      <c r="U63" s="3">
        <v>200</v>
      </c>
      <c r="V63" s="3">
        <v>200</v>
      </c>
      <c r="W63" s="3">
        <v>200</v>
      </c>
      <c r="X63" s="3">
        <v>200</v>
      </c>
      <c r="Y63" s="3">
        <v>200</v>
      </c>
      <c r="Z63" s="3">
        <v>200</v>
      </c>
      <c r="AA63" s="3">
        <v>200</v>
      </c>
      <c r="AB63" s="3">
        <v>200</v>
      </c>
      <c r="AC63" s="3">
        <v>200</v>
      </c>
      <c r="AD63" s="3">
        <v>200</v>
      </c>
      <c r="AE63" s="3">
        <v>200</v>
      </c>
      <c r="AF63" s="3">
        <v>200</v>
      </c>
      <c r="AG63" s="3">
        <v>200</v>
      </c>
      <c r="AH63" s="3">
        <v>200</v>
      </c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</row>
    <row r="64" spans="1:76" ht="15.6" x14ac:dyDescent="0.3">
      <c r="A64" s="3" t="s">
        <v>70</v>
      </c>
      <c r="B64" s="3" t="s">
        <v>71</v>
      </c>
      <c r="C64" s="3" t="s">
        <v>77</v>
      </c>
      <c r="D64" s="3"/>
      <c r="E64" s="4" t="s">
        <v>79</v>
      </c>
      <c r="F64" s="3"/>
      <c r="G64" s="5">
        <v>46051</v>
      </c>
      <c r="H64" s="17">
        <v>46069</v>
      </c>
      <c r="I64" s="17">
        <f t="shared" si="9"/>
        <v>46111</v>
      </c>
      <c r="J64" s="16">
        <f t="shared" si="10"/>
        <v>42</v>
      </c>
      <c r="K64" s="3">
        <v>6000</v>
      </c>
      <c r="L64" s="3">
        <f t="shared" si="2"/>
        <v>4200</v>
      </c>
      <c r="M64" s="20" t="b">
        <f t="shared" si="8"/>
        <v>1</v>
      </c>
      <c r="O64" s="6" t="str">
        <f t="shared" si="3"/>
        <v>Open</v>
      </c>
      <c r="P64" s="3">
        <f t="shared" si="4"/>
        <v>42</v>
      </c>
      <c r="Q64" s="3">
        <v>100</v>
      </c>
      <c r="R64" s="3">
        <v>100</v>
      </c>
      <c r="S64" s="3">
        <v>100</v>
      </c>
      <c r="T64" s="3">
        <v>100</v>
      </c>
      <c r="U64" s="3">
        <v>100</v>
      </c>
      <c r="V64" s="3">
        <v>100</v>
      </c>
      <c r="W64" s="3">
        <v>100</v>
      </c>
      <c r="X64" s="3">
        <v>100</v>
      </c>
      <c r="Y64" s="3">
        <v>100</v>
      </c>
      <c r="Z64" s="3">
        <v>100</v>
      </c>
      <c r="AA64" s="3">
        <v>100</v>
      </c>
      <c r="AB64" s="3">
        <v>100</v>
      </c>
      <c r="AC64" s="3">
        <v>100</v>
      </c>
      <c r="AD64" s="3">
        <v>100</v>
      </c>
      <c r="AE64" s="3">
        <v>100</v>
      </c>
      <c r="AF64" s="3">
        <v>100</v>
      </c>
      <c r="AG64" s="3">
        <v>100</v>
      </c>
      <c r="AH64" s="3">
        <v>100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</row>
    <row r="65" spans="1:76" ht="15.6" x14ac:dyDescent="0.3">
      <c r="A65" s="3" t="s">
        <v>70</v>
      </c>
      <c r="B65" s="3" t="s">
        <v>71</v>
      </c>
      <c r="C65" s="3" t="s">
        <v>77</v>
      </c>
      <c r="D65" s="3"/>
      <c r="E65" s="4" t="s">
        <v>75</v>
      </c>
      <c r="F65" s="3"/>
      <c r="G65" s="5">
        <v>46051</v>
      </c>
      <c r="H65" s="17">
        <v>46069</v>
      </c>
      <c r="I65" s="17">
        <f t="shared" si="9"/>
        <v>46111</v>
      </c>
      <c r="J65" s="16">
        <f t="shared" si="10"/>
        <v>42</v>
      </c>
      <c r="K65" s="3">
        <v>12000</v>
      </c>
      <c r="L65" s="3">
        <f t="shared" si="2"/>
        <v>8400</v>
      </c>
      <c r="M65" s="20" t="b">
        <f t="shared" si="8"/>
        <v>1</v>
      </c>
      <c r="O65" s="6" t="str">
        <f t="shared" si="3"/>
        <v>Open</v>
      </c>
      <c r="P65" s="3">
        <f t="shared" si="4"/>
        <v>42</v>
      </c>
      <c r="Q65" s="3">
        <v>200</v>
      </c>
      <c r="R65" s="3">
        <v>200</v>
      </c>
      <c r="S65" s="3">
        <v>200</v>
      </c>
      <c r="T65" s="3">
        <v>200</v>
      </c>
      <c r="U65" s="3">
        <v>200</v>
      </c>
      <c r="V65" s="3">
        <v>200</v>
      </c>
      <c r="W65" s="3">
        <v>200</v>
      </c>
      <c r="X65" s="3">
        <v>200</v>
      </c>
      <c r="Y65" s="3">
        <v>200</v>
      </c>
      <c r="Z65" s="3">
        <v>200</v>
      </c>
      <c r="AA65" s="3">
        <v>200</v>
      </c>
      <c r="AB65" s="3">
        <v>200</v>
      </c>
      <c r="AC65" s="3">
        <v>200</v>
      </c>
      <c r="AD65" s="3">
        <v>200</v>
      </c>
      <c r="AE65" s="3">
        <v>200</v>
      </c>
      <c r="AF65" s="3">
        <v>200</v>
      </c>
      <c r="AG65" s="3">
        <v>200</v>
      </c>
      <c r="AH65" s="3">
        <v>200</v>
      </c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</row>
    <row r="66" spans="1:76" ht="15.6" x14ac:dyDescent="0.3">
      <c r="A66" s="3" t="s">
        <v>70</v>
      </c>
      <c r="B66" s="3" t="s">
        <v>71</v>
      </c>
      <c r="C66" s="3" t="s">
        <v>77</v>
      </c>
      <c r="D66" s="3"/>
      <c r="E66" s="4" t="s">
        <v>81</v>
      </c>
      <c r="F66" s="3"/>
      <c r="G66" s="5">
        <v>46051</v>
      </c>
      <c r="H66" s="17">
        <v>46069</v>
      </c>
      <c r="I66" s="17">
        <f t="shared" si="9"/>
        <v>46111</v>
      </c>
      <c r="J66" s="16">
        <f t="shared" si="10"/>
        <v>42</v>
      </c>
      <c r="K66" s="3">
        <v>12000</v>
      </c>
      <c r="L66" s="3">
        <f t="shared" ref="L66:L129" si="11">K66-SUM(Q66:BX66)</f>
        <v>8400</v>
      </c>
      <c r="M66" s="20" t="b">
        <f t="shared" si="8"/>
        <v>1</v>
      </c>
      <c r="O66" s="6" t="str">
        <f t="shared" ref="O66:O129" si="12">IF(COUNTA(P66:BW66)=COLUMNS(P66:BW66),"Closed","Open")</f>
        <v>Open</v>
      </c>
      <c r="P66" s="3">
        <f t="shared" ref="P66:P129" si="13">60-COUNT(Q66:BX66)</f>
        <v>42</v>
      </c>
      <c r="Q66" s="3">
        <v>200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200</v>
      </c>
      <c r="AD66" s="3">
        <v>200</v>
      </c>
      <c r="AE66" s="3">
        <v>200</v>
      </c>
      <c r="AF66" s="3">
        <v>200</v>
      </c>
      <c r="AG66" s="3">
        <v>200</v>
      </c>
      <c r="AH66" s="3">
        <v>200</v>
      </c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</row>
    <row r="67" spans="1:76" ht="15.6" x14ac:dyDescent="0.3">
      <c r="A67" s="3" t="s">
        <v>70</v>
      </c>
      <c r="B67" s="3" t="s">
        <v>71</v>
      </c>
      <c r="C67" s="3" t="s">
        <v>77</v>
      </c>
      <c r="D67" s="3"/>
      <c r="E67" s="4" t="s">
        <v>82</v>
      </c>
      <c r="F67" s="3"/>
      <c r="G67" s="5">
        <v>46051</v>
      </c>
      <c r="H67" s="17">
        <v>46069</v>
      </c>
      <c r="I67" s="17">
        <f t="shared" si="9"/>
        <v>46111</v>
      </c>
      <c r="J67" s="16">
        <f t="shared" si="10"/>
        <v>42</v>
      </c>
      <c r="K67" s="3">
        <v>12000</v>
      </c>
      <c r="L67" s="3">
        <f t="shared" si="11"/>
        <v>8400</v>
      </c>
      <c r="M67" s="20" t="b">
        <f t="shared" si="8"/>
        <v>1</v>
      </c>
      <c r="O67" s="6" t="str">
        <f t="shared" si="12"/>
        <v>Open</v>
      </c>
      <c r="P67" s="3">
        <f t="shared" si="13"/>
        <v>42</v>
      </c>
      <c r="Q67" s="3">
        <v>200</v>
      </c>
      <c r="R67" s="3">
        <v>200</v>
      </c>
      <c r="S67" s="3">
        <v>200</v>
      </c>
      <c r="T67" s="3">
        <v>200</v>
      </c>
      <c r="U67" s="3">
        <v>200</v>
      </c>
      <c r="V67" s="3">
        <v>200</v>
      </c>
      <c r="W67" s="3">
        <v>200</v>
      </c>
      <c r="X67" s="3">
        <v>200</v>
      </c>
      <c r="Y67" s="3">
        <v>200</v>
      </c>
      <c r="Z67" s="3">
        <v>200</v>
      </c>
      <c r="AA67" s="3">
        <v>200</v>
      </c>
      <c r="AB67" s="3">
        <v>200</v>
      </c>
      <c r="AC67" s="3">
        <v>200</v>
      </c>
      <c r="AD67" s="3">
        <v>200</v>
      </c>
      <c r="AE67" s="3">
        <v>200</v>
      </c>
      <c r="AF67" s="3">
        <v>200</v>
      </c>
      <c r="AG67" s="3">
        <v>200</v>
      </c>
      <c r="AH67" s="3">
        <v>200</v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1:76" ht="15.6" x14ac:dyDescent="0.3">
      <c r="A68" s="3" t="s">
        <v>70</v>
      </c>
      <c r="B68" s="3" t="s">
        <v>71</v>
      </c>
      <c r="C68" s="3" t="s">
        <v>99</v>
      </c>
      <c r="D68" s="3"/>
      <c r="E68" s="4" t="s">
        <v>100</v>
      </c>
      <c r="F68" s="3"/>
      <c r="G68" s="5">
        <v>46052</v>
      </c>
      <c r="H68" s="17">
        <v>46069</v>
      </c>
      <c r="I68" s="17">
        <f t="shared" si="9"/>
        <v>46112</v>
      </c>
      <c r="J68" s="16">
        <f t="shared" si="10"/>
        <v>43</v>
      </c>
      <c r="K68" s="3">
        <v>12000</v>
      </c>
      <c r="L68" s="3">
        <f t="shared" si="11"/>
        <v>8600</v>
      </c>
      <c r="M68" s="20" t="b">
        <f t="shared" si="8"/>
        <v>1</v>
      </c>
      <c r="O68" s="6" t="str">
        <f t="shared" si="12"/>
        <v>Open</v>
      </c>
      <c r="P68" s="3">
        <f t="shared" si="13"/>
        <v>43</v>
      </c>
      <c r="Q68" s="3">
        <v>200</v>
      </c>
      <c r="R68" s="3">
        <v>200</v>
      </c>
      <c r="S68" s="3">
        <v>200</v>
      </c>
      <c r="T68" s="3">
        <v>200</v>
      </c>
      <c r="U68" s="3">
        <v>200</v>
      </c>
      <c r="V68" s="3">
        <v>200</v>
      </c>
      <c r="W68" s="3">
        <v>200</v>
      </c>
      <c r="X68" s="3">
        <v>200</v>
      </c>
      <c r="Y68" s="3">
        <v>200</v>
      </c>
      <c r="Z68" s="3">
        <v>200</v>
      </c>
      <c r="AA68" s="3">
        <v>200</v>
      </c>
      <c r="AB68" s="3">
        <v>200</v>
      </c>
      <c r="AC68" s="3">
        <v>200</v>
      </c>
      <c r="AD68" s="3">
        <v>200</v>
      </c>
      <c r="AE68" s="3">
        <v>200</v>
      </c>
      <c r="AF68" s="3">
        <v>200</v>
      </c>
      <c r="AG68" s="3">
        <v>200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1:76" ht="15.6" x14ac:dyDescent="0.3">
      <c r="A69" s="3" t="s">
        <v>70</v>
      </c>
      <c r="B69" s="3" t="s">
        <v>71</v>
      </c>
      <c r="C69" s="3" t="s">
        <v>99</v>
      </c>
      <c r="D69" s="3"/>
      <c r="E69" s="4" t="s">
        <v>101</v>
      </c>
      <c r="F69" s="3"/>
      <c r="G69" s="5">
        <v>46052</v>
      </c>
      <c r="H69" s="17">
        <v>46069</v>
      </c>
      <c r="I69" s="17">
        <f t="shared" si="9"/>
        <v>46112</v>
      </c>
      <c r="J69" s="16">
        <f t="shared" si="10"/>
        <v>43</v>
      </c>
      <c r="K69" s="3">
        <v>12000</v>
      </c>
      <c r="L69" s="3">
        <f t="shared" si="11"/>
        <v>8600</v>
      </c>
      <c r="M69" s="20" t="b">
        <f t="shared" si="8"/>
        <v>1</v>
      </c>
      <c r="O69" s="6" t="str">
        <f t="shared" si="12"/>
        <v>Open</v>
      </c>
      <c r="P69" s="3">
        <f t="shared" si="13"/>
        <v>43</v>
      </c>
      <c r="Q69" s="3">
        <v>200</v>
      </c>
      <c r="R69" s="3">
        <v>200</v>
      </c>
      <c r="S69" s="3">
        <v>200</v>
      </c>
      <c r="T69" s="3">
        <v>200</v>
      </c>
      <c r="U69" s="3">
        <v>200</v>
      </c>
      <c r="V69" s="3">
        <v>200</v>
      </c>
      <c r="W69" s="3">
        <v>200</v>
      </c>
      <c r="X69" s="3">
        <v>200</v>
      </c>
      <c r="Y69" s="3">
        <v>200</v>
      </c>
      <c r="Z69" s="3">
        <v>200</v>
      </c>
      <c r="AA69" s="3">
        <v>200</v>
      </c>
      <c r="AB69" s="3">
        <v>200</v>
      </c>
      <c r="AC69" s="3">
        <v>200</v>
      </c>
      <c r="AD69" s="3">
        <v>200</v>
      </c>
      <c r="AE69" s="3">
        <v>200</v>
      </c>
      <c r="AF69" s="3">
        <v>200</v>
      </c>
      <c r="AG69" s="3">
        <v>200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</row>
    <row r="70" spans="1:76" ht="15.6" x14ac:dyDescent="0.3">
      <c r="A70" s="3" t="s">
        <v>70</v>
      </c>
      <c r="B70" s="3" t="s">
        <v>71</v>
      </c>
      <c r="C70" s="3" t="s">
        <v>99</v>
      </c>
      <c r="D70" s="3"/>
      <c r="E70" s="4" t="s">
        <v>102</v>
      </c>
      <c r="F70" s="3"/>
      <c r="G70" s="5">
        <v>46052</v>
      </c>
      <c r="H70" s="17">
        <v>46069</v>
      </c>
      <c r="I70" s="17">
        <f t="shared" si="9"/>
        <v>46112</v>
      </c>
      <c r="J70" s="16">
        <f t="shared" si="10"/>
        <v>43</v>
      </c>
      <c r="K70" s="3">
        <v>12000</v>
      </c>
      <c r="L70" s="3">
        <f t="shared" si="11"/>
        <v>8600</v>
      </c>
      <c r="M70" s="20" t="b">
        <f t="shared" si="8"/>
        <v>1</v>
      </c>
      <c r="O70" s="6" t="str">
        <f t="shared" si="12"/>
        <v>Open</v>
      </c>
      <c r="P70" s="3">
        <f t="shared" si="13"/>
        <v>43</v>
      </c>
      <c r="Q70" s="3">
        <v>200</v>
      </c>
      <c r="R70" s="3">
        <v>200</v>
      </c>
      <c r="S70" s="3">
        <v>200</v>
      </c>
      <c r="T70" s="3">
        <v>200</v>
      </c>
      <c r="U70" s="3">
        <v>200</v>
      </c>
      <c r="V70" s="3">
        <v>200</v>
      </c>
      <c r="W70" s="3">
        <v>200</v>
      </c>
      <c r="X70" s="3">
        <v>200</v>
      </c>
      <c r="Y70" s="3">
        <v>200</v>
      </c>
      <c r="Z70" s="3">
        <v>200</v>
      </c>
      <c r="AA70" s="3">
        <v>200</v>
      </c>
      <c r="AB70" s="3">
        <v>200</v>
      </c>
      <c r="AC70" s="3">
        <v>200</v>
      </c>
      <c r="AD70" s="3">
        <v>200</v>
      </c>
      <c r="AE70" s="3">
        <v>200</v>
      </c>
      <c r="AF70" s="3">
        <v>200</v>
      </c>
      <c r="AG70" s="3">
        <v>200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1:76" ht="15.6" x14ac:dyDescent="0.3">
      <c r="A71" s="3" t="s">
        <v>70</v>
      </c>
      <c r="B71" s="3" t="s">
        <v>71</v>
      </c>
      <c r="C71" s="3" t="s">
        <v>99</v>
      </c>
      <c r="D71" s="3"/>
      <c r="E71" s="4" t="s">
        <v>103</v>
      </c>
      <c r="F71" s="3"/>
      <c r="G71" s="5">
        <v>46052</v>
      </c>
      <c r="H71" s="17">
        <v>46069</v>
      </c>
      <c r="I71" s="17">
        <f t="shared" si="9"/>
        <v>46112</v>
      </c>
      <c r="J71" s="16">
        <f t="shared" si="10"/>
        <v>43</v>
      </c>
      <c r="K71" s="3">
        <v>12000</v>
      </c>
      <c r="L71" s="3">
        <f t="shared" si="11"/>
        <v>8600</v>
      </c>
      <c r="M71" s="20" t="b">
        <f t="shared" si="8"/>
        <v>1</v>
      </c>
      <c r="O71" s="6" t="str">
        <f t="shared" si="12"/>
        <v>Open</v>
      </c>
      <c r="P71" s="3">
        <f t="shared" si="13"/>
        <v>43</v>
      </c>
      <c r="Q71" s="3">
        <v>200</v>
      </c>
      <c r="R71" s="3">
        <v>200</v>
      </c>
      <c r="S71" s="3">
        <v>200</v>
      </c>
      <c r="T71" s="3">
        <v>200</v>
      </c>
      <c r="U71" s="3">
        <v>200</v>
      </c>
      <c r="V71" s="3">
        <v>200</v>
      </c>
      <c r="W71" s="3">
        <v>200</v>
      </c>
      <c r="X71" s="3">
        <v>200</v>
      </c>
      <c r="Y71" s="3">
        <v>200</v>
      </c>
      <c r="Z71" s="3">
        <v>200</v>
      </c>
      <c r="AA71" s="3">
        <v>200</v>
      </c>
      <c r="AB71" s="3">
        <v>200</v>
      </c>
      <c r="AC71" s="3">
        <v>200</v>
      </c>
      <c r="AD71" s="3">
        <v>200</v>
      </c>
      <c r="AE71" s="3">
        <v>200</v>
      </c>
      <c r="AF71" s="3">
        <v>200</v>
      </c>
      <c r="AG71" s="3">
        <v>200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1:76" ht="15.6" x14ac:dyDescent="0.3">
      <c r="A72" s="3" t="s">
        <v>70</v>
      </c>
      <c r="B72" s="3" t="s">
        <v>71</v>
      </c>
      <c r="C72" s="3" t="s">
        <v>99</v>
      </c>
      <c r="D72" s="3"/>
      <c r="E72" s="4" t="s">
        <v>87</v>
      </c>
      <c r="F72" s="3"/>
      <c r="G72" s="5">
        <v>46052</v>
      </c>
      <c r="H72" s="17">
        <v>46069</v>
      </c>
      <c r="I72" s="17">
        <f t="shared" si="9"/>
        <v>46112</v>
      </c>
      <c r="J72" s="16">
        <f t="shared" si="10"/>
        <v>43</v>
      </c>
      <c r="K72" s="3">
        <v>6000</v>
      </c>
      <c r="L72" s="3">
        <f t="shared" si="11"/>
        <v>4300</v>
      </c>
      <c r="M72" s="20" t="b">
        <f t="shared" si="8"/>
        <v>1</v>
      </c>
      <c r="O72" s="6" t="str">
        <f t="shared" si="12"/>
        <v>Open</v>
      </c>
      <c r="P72" s="3">
        <f t="shared" si="13"/>
        <v>43</v>
      </c>
      <c r="Q72" s="3">
        <v>100</v>
      </c>
      <c r="R72" s="3">
        <v>100</v>
      </c>
      <c r="S72" s="3">
        <v>100</v>
      </c>
      <c r="T72" s="3">
        <v>100</v>
      </c>
      <c r="U72" s="3">
        <v>100</v>
      </c>
      <c r="V72" s="3">
        <v>100</v>
      </c>
      <c r="W72" s="3">
        <v>100</v>
      </c>
      <c r="X72" s="3">
        <v>100</v>
      </c>
      <c r="Y72" s="3">
        <v>100</v>
      </c>
      <c r="Z72" s="3">
        <v>100</v>
      </c>
      <c r="AA72" s="3">
        <v>100</v>
      </c>
      <c r="AB72" s="3">
        <v>100</v>
      </c>
      <c r="AC72" s="3">
        <v>100</v>
      </c>
      <c r="AD72" s="3">
        <v>100</v>
      </c>
      <c r="AE72" s="3">
        <v>100</v>
      </c>
      <c r="AF72" s="3">
        <v>100</v>
      </c>
      <c r="AG72" s="3">
        <v>100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</row>
    <row r="73" spans="1:76" ht="15.6" x14ac:dyDescent="0.3">
      <c r="A73" s="3" t="s">
        <v>70</v>
      </c>
      <c r="B73" s="3" t="s">
        <v>71</v>
      </c>
      <c r="C73" s="3" t="s">
        <v>124</v>
      </c>
      <c r="D73" s="3"/>
      <c r="E73" s="4" t="s">
        <v>125</v>
      </c>
      <c r="F73" s="3"/>
      <c r="G73" s="5">
        <v>46052</v>
      </c>
      <c r="H73" s="17">
        <v>46069</v>
      </c>
      <c r="I73" s="17">
        <f t="shared" ref="I73:I88" si="14">G73+60</f>
        <v>46112</v>
      </c>
      <c r="J73" s="16">
        <f t="shared" ref="J73:J88" si="15">I73-H73</f>
        <v>43</v>
      </c>
      <c r="K73" s="3">
        <v>12000</v>
      </c>
      <c r="L73" s="3">
        <f t="shared" si="11"/>
        <v>8600</v>
      </c>
      <c r="M73" s="20" t="b">
        <f t="shared" ref="M73:M86" si="16">J73=P73</f>
        <v>1</v>
      </c>
      <c r="O73" s="6" t="str">
        <f t="shared" si="12"/>
        <v>Open</v>
      </c>
      <c r="P73" s="3">
        <f t="shared" si="13"/>
        <v>43</v>
      </c>
      <c r="Q73" s="3">
        <v>200</v>
      </c>
      <c r="R73" s="3">
        <v>200</v>
      </c>
      <c r="S73" s="3">
        <v>200</v>
      </c>
      <c r="T73" s="3">
        <v>200</v>
      </c>
      <c r="U73" s="3">
        <v>200</v>
      </c>
      <c r="V73" s="3">
        <v>200</v>
      </c>
      <c r="W73" s="3">
        <v>200</v>
      </c>
      <c r="X73" s="3">
        <v>200</v>
      </c>
      <c r="Y73" s="3">
        <v>200</v>
      </c>
      <c r="Z73" s="3">
        <v>200</v>
      </c>
      <c r="AA73" s="3">
        <v>200</v>
      </c>
      <c r="AB73" s="3">
        <v>200</v>
      </c>
      <c r="AC73" s="3">
        <v>200</v>
      </c>
      <c r="AD73" s="3">
        <v>200</v>
      </c>
      <c r="AE73" s="3">
        <v>200</v>
      </c>
      <c r="AF73" s="3">
        <v>200</v>
      </c>
      <c r="AG73" s="3">
        <v>200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</row>
    <row r="74" spans="1:76" ht="15.6" x14ac:dyDescent="0.3">
      <c r="A74" s="3" t="s">
        <v>70</v>
      </c>
      <c r="B74" s="3" t="s">
        <v>71</v>
      </c>
      <c r="C74" s="3" t="s">
        <v>124</v>
      </c>
      <c r="D74" s="3"/>
      <c r="E74" s="4" t="s">
        <v>110</v>
      </c>
      <c r="F74" s="3"/>
      <c r="G74" s="5">
        <v>46052</v>
      </c>
      <c r="H74" s="17">
        <v>46069</v>
      </c>
      <c r="I74" s="17">
        <f t="shared" si="14"/>
        <v>46112</v>
      </c>
      <c r="J74" s="16">
        <f t="shared" si="15"/>
        <v>43</v>
      </c>
      <c r="K74" s="3">
        <v>12000</v>
      </c>
      <c r="L74" s="3">
        <f t="shared" si="11"/>
        <v>8600</v>
      </c>
      <c r="M74" s="20" t="b">
        <f t="shared" si="16"/>
        <v>1</v>
      </c>
      <c r="O74" s="6" t="str">
        <f t="shared" si="12"/>
        <v>Open</v>
      </c>
      <c r="P74" s="3">
        <f t="shared" si="13"/>
        <v>43</v>
      </c>
      <c r="Q74" s="3">
        <v>200</v>
      </c>
      <c r="R74" s="3">
        <v>200</v>
      </c>
      <c r="S74" s="3">
        <v>200</v>
      </c>
      <c r="T74" s="3">
        <v>200</v>
      </c>
      <c r="U74" s="3">
        <v>200</v>
      </c>
      <c r="V74" s="3">
        <v>200</v>
      </c>
      <c r="W74" s="3">
        <v>200</v>
      </c>
      <c r="X74" s="3">
        <v>200</v>
      </c>
      <c r="Y74" s="3">
        <v>200</v>
      </c>
      <c r="Z74" s="3">
        <v>200</v>
      </c>
      <c r="AA74" s="3">
        <v>200</v>
      </c>
      <c r="AB74" s="3">
        <v>200</v>
      </c>
      <c r="AC74" s="3">
        <v>200</v>
      </c>
      <c r="AD74" s="3">
        <v>200</v>
      </c>
      <c r="AE74" s="3">
        <v>200</v>
      </c>
      <c r="AF74" s="3">
        <v>200</v>
      </c>
      <c r="AG74" s="3">
        <v>200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1:76" ht="15.6" x14ac:dyDescent="0.3">
      <c r="A75" s="3" t="s">
        <v>70</v>
      </c>
      <c r="B75" s="3" t="s">
        <v>71</v>
      </c>
      <c r="C75" s="3" t="s">
        <v>124</v>
      </c>
      <c r="D75" s="3"/>
      <c r="E75" s="4" t="s">
        <v>87</v>
      </c>
      <c r="F75" s="3"/>
      <c r="G75" s="5">
        <v>46052</v>
      </c>
      <c r="H75" s="17">
        <v>46069</v>
      </c>
      <c r="I75" s="17">
        <f t="shared" si="14"/>
        <v>46112</v>
      </c>
      <c r="J75" s="16">
        <f t="shared" si="15"/>
        <v>43</v>
      </c>
      <c r="K75" s="3">
        <v>12000</v>
      </c>
      <c r="L75" s="3">
        <f t="shared" si="11"/>
        <v>8600</v>
      </c>
      <c r="M75" s="20" t="b">
        <f t="shared" si="16"/>
        <v>1</v>
      </c>
      <c r="O75" s="6" t="str">
        <f t="shared" si="12"/>
        <v>Open</v>
      </c>
      <c r="P75" s="3">
        <f t="shared" si="13"/>
        <v>43</v>
      </c>
      <c r="Q75" s="3">
        <v>200</v>
      </c>
      <c r="R75" s="3">
        <v>200</v>
      </c>
      <c r="S75" s="3">
        <v>200</v>
      </c>
      <c r="T75" s="3">
        <v>200</v>
      </c>
      <c r="U75" s="3">
        <v>200</v>
      </c>
      <c r="V75" s="3">
        <v>200</v>
      </c>
      <c r="W75" s="3">
        <v>200</v>
      </c>
      <c r="X75" s="3">
        <v>200</v>
      </c>
      <c r="Y75" s="3">
        <v>200</v>
      </c>
      <c r="Z75" s="3">
        <v>200</v>
      </c>
      <c r="AA75" s="3">
        <v>200</v>
      </c>
      <c r="AB75" s="3">
        <v>200</v>
      </c>
      <c r="AC75" s="3">
        <v>200</v>
      </c>
      <c r="AD75" s="3">
        <v>200</v>
      </c>
      <c r="AE75" s="3">
        <v>200</v>
      </c>
      <c r="AF75" s="3">
        <v>200</v>
      </c>
      <c r="AG75" s="3">
        <v>200</v>
      </c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</row>
    <row r="76" spans="1:76" ht="15.6" x14ac:dyDescent="0.3">
      <c r="A76" s="3" t="s">
        <v>70</v>
      </c>
      <c r="B76" s="3" t="s">
        <v>71</v>
      </c>
      <c r="C76" s="3" t="s">
        <v>124</v>
      </c>
      <c r="D76" s="3"/>
      <c r="E76" s="4" t="s">
        <v>126</v>
      </c>
      <c r="F76" s="3"/>
      <c r="G76" s="5">
        <v>46052</v>
      </c>
      <c r="H76" s="17">
        <v>46069</v>
      </c>
      <c r="I76" s="17">
        <f t="shared" si="14"/>
        <v>46112</v>
      </c>
      <c r="J76" s="16">
        <f t="shared" si="15"/>
        <v>43</v>
      </c>
      <c r="K76" s="3">
        <v>6000</v>
      </c>
      <c r="L76" s="3">
        <f t="shared" si="11"/>
        <v>4300</v>
      </c>
      <c r="M76" s="20" t="b">
        <f t="shared" si="16"/>
        <v>1</v>
      </c>
      <c r="O76" s="6" t="str">
        <f t="shared" si="12"/>
        <v>Open</v>
      </c>
      <c r="P76" s="3">
        <f t="shared" si="13"/>
        <v>43</v>
      </c>
      <c r="Q76" s="3">
        <v>100</v>
      </c>
      <c r="R76" s="3">
        <v>100</v>
      </c>
      <c r="S76" s="3">
        <v>100</v>
      </c>
      <c r="T76" s="3">
        <v>100</v>
      </c>
      <c r="U76" s="3">
        <v>100</v>
      </c>
      <c r="V76" s="3">
        <v>100</v>
      </c>
      <c r="W76" s="3">
        <v>100</v>
      </c>
      <c r="X76" s="3">
        <v>100</v>
      </c>
      <c r="Y76" s="3">
        <v>100</v>
      </c>
      <c r="Z76" s="3">
        <v>100</v>
      </c>
      <c r="AA76" s="3">
        <v>100</v>
      </c>
      <c r="AB76" s="3">
        <v>100</v>
      </c>
      <c r="AC76" s="3">
        <v>100</v>
      </c>
      <c r="AD76" s="3">
        <v>100</v>
      </c>
      <c r="AE76" s="3">
        <v>100</v>
      </c>
      <c r="AF76" s="3">
        <v>100</v>
      </c>
      <c r="AG76" s="3">
        <v>100</v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</row>
    <row r="77" spans="1:76" ht="15.6" x14ac:dyDescent="0.3">
      <c r="A77" s="3" t="s">
        <v>70</v>
      </c>
      <c r="B77" s="3" t="s">
        <v>71</v>
      </c>
      <c r="C77" s="3" t="s">
        <v>124</v>
      </c>
      <c r="D77" s="3"/>
      <c r="E77" s="4" t="s">
        <v>95</v>
      </c>
      <c r="F77" s="3"/>
      <c r="G77" s="5">
        <v>46052</v>
      </c>
      <c r="H77" s="17">
        <v>46069</v>
      </c>
      <c r="I77" s="17">
        <f t="shared" si="14"/>
        <v>46112</v>
      </c>
      <c r="J77" s="16">
        <f t="shared" si="15"/>
        <v>43</v>
      </c>
      <c r="K77" s="3">
        <v>6000</v>
      </c>
      <c r="L77" s="3">
        <f t="shared" si="11"/>
        <v>4300</v>
      </c>
      <c r="M77" s="20" t="b">
        <f t="shared" si="16"/>
        <v>1</v>
      </c>
      <c r="O77" s="6" t="str">
        <f t="shared" si="12"/>
        <v>Open</v>
      </c>
      <c r="P77" s="3">
        <f t="shared" si="13"/>
        <v>43</v>
      </c>
      <c r="Q77" s="3">
        <v>100</v>
      </c>
      <c r="R77" s="3">
        <v>100</v>
      </c>
      <c r="S77" s="3">
        <v>100</v>
      </c>
      <c r="T77" s="3">
        <v>100</v>
      </c>
      <c r="U77" s="3">
        <v>100</v>
      </c>
      <c r="V77" s="3">
        <v>100</v>
      </c>
      <c r="W77" s="3">
        <v>100</v>
      </c>
      <c r="X77" s="3">
        <v>100</v>
      </c>
      <c r="Y77" s="3">
        <v>100</v>
      </c>
      <c r="Z77" s="3">
        <v>100</v>
      </c>
      <c r="AA77" s="3">
        <v>100</v>
      </c>
      <c r="AB77" s="3">
        <v>100</v>
      </c>
      <c r="AC77" s="3">
        <v>100</v>
      </c>
      <c r="AD77" s="3">
        <v>100</v>
      </c>
      <c r="AE77" s="3">
        <v>100</v>
      </c>
      <c r="AF77" s="3">
        <v>100</v>
      </c>
      <c r="AG77" s="3">
        <v>100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1:76" ht="15.6" x14ac:dyDescent="0.3">
      <c r="A78" s="3" t="s">
        <v>70</v>
      </c>
      <c r="B78" s="3" t="s">
        <v>71</v>
      </c>
      <c r="C78" s="3" t="s">
        <v>114</v>
      </c>
      <c r="D78" s="3"/>
      <c r="E78" s="4" t="s">
        <v>117</v>
      </c>
      <c r="F78" s="3"/>
      <c r="G78" s="5">
        <v>46053</v>
      </c>
      <c r="H78" s="17">
        <v>46069</v>
      </c>
      <c r="I78" s="17">
        <f t="shared" si="14"/>
        <v>46113</v>
      </c>
      <c r="J78" s="16">
        <f t="shared" si="15"/>
        <v>44</v>
      </c>
      <c r="K78" s="3">
        <v>6000</v>
      </c>
      <c r="L78" s="3">
        <f t="shared" si="11"/>
        <v>4400</v>
      </c>
      <c r="M78" s="20" t="b">
        <f t="shared" si="16"/>
        <v>1</v>
      </c>
      <c r="O78" s="6" t="str">
        <f t="shared" si="12"/>
        <v>Open</v>
      </c>
      <c r="P78" s="3">
        <f t="shared" si="13"/>
        <v>44</v>
      </c>
      <c r="Q78" s="3">
        <v>100</v>
      </c>
      <c r="R78" s="3">
        <v>100</v>
      </c>
      <c r="S78" s="3">
        <v>100</v>
      </c>
      <c r="T78" s="3">
        <v>100</v>
      </c>
      <c r="U78" s="3">
        <v>100</v>
      </c>
      <c r="V78" s="3">
        <v>100</v>
      </c>
      <c r="W78" s="3">
        <v>100</v>
      </c>
      <c r="X78" s="3">
        <v>100</v>
      </c>
      <c r="Y78" s="3">
        <v>100</v>
      </c>
      <c r="Z78" s="3">
        <v>100</v>
      </c>
      <c r="AA78" s="3">
        <v>100</v>
      </c>
      <c r="AB78" s="3">
        <v>100</v>
      </c>
      <c r="AC78" s="3">
        <v>100</v>
      </c>
      <c r="AD78" s="3">
        <v>100</v>
      </c>
      <c r="AE78" s="3">
        <v>100</v>
      </c>
      <c r="AF78" s="3">
        <v>100</v>
      </c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</row>
    <row r="79" spans="1:76" ht="15.6" x14ac:dyDescent="0.3">
      <c r="A79" s="3" t="s">
        <v>70</v>
      </c>
      <c r="B79" s="3" t="s">
        <v>71</v>
      </c>
      <c r="C79" s="3" t="s">
        <v>127</v>
      </c>
      <c r="D79" s="3"/>
      <c r="E79" s="4" t="s">
        <v>102</v>
      </c>
      <c r="F79" s="3"/>
      <c r="G79" s="5">
        <v>46053</v>
      </c>
      <c r="H79" s="17">
        <v>46069</v>
      </c>
      <c r="I79" s="17">
        <f t="shared" si="14"/>
        <v>46113</v>
      </c>
      <c r="J79" s="16">
        <f t="shared" si="15"/>
        <v>44</v>
      </c>
      <c r="K79" s="3">
        <v>6000</v>
      </c>
      <c r="L79" s="3">
        <f t="shared" si="11"/>
        <v>4400</v>
      </c>
      <c r="M79" s="20" t="b">
        <f t="shared" si="16"/>
        <v>1</v>
      </c>
      <c r="O79" s="6" t="str">
        <f t="shared" si="12"/>
        <v>Open</v>
      </c>
      <c r="P79" s="3">
        <f t="shared" si="13"/>
        <v>44</v>
      </c>
      <c r="Q79" s="3">
        <v>100</v>
      </c>
      <c r="R79" s="3">
        <v>100</v>
      </c>
      <c r="S79" s="3">
        <v>100</v>
      </c>
      <c r="T79" s="3">
        <v>100</v>
      </c>
      <c r="U79" s="3">
        <v>100</v>
      </c>
      <c r="V79" s="3">
        <v>100</v>
      </c>
      <c r="W79" s="3">
        <v>100</v>
      </c>
      <c r="X79" s="3">
        <v>100</v>
      </c>
      <c r="Y79" s="3">
        <v>100</v>
      </c>
      <c r="Z79" s="3">
        <v>100</v>
      </c>
      <c r="AA79" s="3">
        <v>100</v>
      </c>
      <c r="AB79" s="3">
        <v>100</v>
      </c>
      <c r="AC79" s="3">
        <v>100</v>
      </c>
      <c r="AD79" s="3">
        <v>100</v>
      </c>
      <c r="AE79" s="3">
        <v>100</v>
      </c>
      <c r="AF79" s="3">
        <v>100</v>
      </c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</row>
    <row r="80" spans="1:76" ht="15.6" x14ac:dyDescent="0.3">
      <c r="A80" s="3" t="s">
        <v>70</v>
      </c>
      <c r="B80" s="3" t="s">
        <v>71</v>
      </c>
      <c r="C80" s="3" t="s">
        <v>127</v>
      </c>
      <c r="D80" s="3"/>
      <c r="E80" s="4" t="s">
        <v>75</v>
      </c>
      <c r="F80" s="3"/>
      <c r="G80" s="5">
        <v>46054</v>
      </c>
      <c r="H80" s="17">
        <v>46069</v>
      </c>
      <c r="I80" s="17">
        <f t="shared" si="14"/>
        <v>46114</v>
      </c>
      <c r="J80" s="16">
        <f t="shared" si="15"/>
        <v>45</v>
      </c>
      <c r="K80" s="3">
        <v>12000</v>
      </c>
      <c r="L80" s="3">
        <f t="shared" si="11"/>
        <v>9000</v>
      </c>
      <c r="M80" s="20" t="b">
        <f t="shared" si="16"/>
        <v>1</v>
      </c>
      <c r="O80" s="6" t="str">
        <f t="shared" si="12"/>
        <v>Open</v>
      </c>
      <c r="P80" s="3">
        <f t="shared" si="13"/>
        <v>45</v>
      </c>
      <c r="Q80" s="3">
        <v>200</v>
      </c>
      <c r="R80" s="3">
        <v>200</v>
      </c>
      <c r="S80" s="3">
        <v>200</v>
      </c>
      <c r="T80" s="3">
        <v>200</v>
      </c>
      <c r="U80" s="3">
        <v>200</v>
      </c>
      <c r="V80" s="3">
        <v>200</v>
      </c>
      <c r="W80" s="3">
        <v>200</v>
      </c>
      <c r="X80" s="3">
        <v>200</v>
      </c>
      <c r="Y80" s="3">
        <v>200</v>
      </c>
      <c r="Z80" s="3">
        <v>200</v>
      </c>
      <c r="AA80" s="3">
        <v>200</v>
      </c>
      <c r="AB80" s="3">
        <v>200</v>
      </c>
      <c r="AC80" s="3">
        <v>200</v>
      </c>
      <c r="AD80" s="3">
        <v>200</v>
      </c>
      <c r="AE80" s="3">
        <v>200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1:76" ht="15.6" x14ac:dyDescent="0.3">
      <c r="A81" s="3" t="s">
        <v>70</v>
      </c>
      <c r="B81" s="3" t="s">
        <v>71</v>
      </c>
      <c r="C81" s="3" t="s">
        <v>109</v>
      </c>
      <c r="D81" s="3"/>
      <c r="E81" s="4" t="s">
        <v>79</v>
      </c>
      <c r="F81" s="3"/>
      <c r="G81" s="5">
        <v>46055</v>
      </c>
      <c r="H81" s="17">
        <v>46069</v>
      </c>
      <c r="I81" s="17">
        <f t="shared" si="14"/>
        <v>46115</v>
      </c>
      <c r="J81" s="16">
        <f t="shared" si="15"/>
        <v>46</v>
      </c>
      <c r="K81" s="3">
        <v>12000</v>
      </c>
      <c r="L81" s="3">
        <f t="shared" si="11"/>
        <v>9200</v>
      </c>
      <c r="M81" s="20" t="b">
        <f t="shared" si="16"/>
        <v>1</v>
      </c>
      <c r="O81" s="6" t="str">
        <f t="shared" si="12"/>
        <v>Open</v>
      </c>
      <c r="P81" s="3">
        <f t="shared" si="13"/>
        <v>46</v>
      </c>
      <c r="Q81" s="3">
        <v>200</v>
      </c>
      <c r="R81" s="3">
        <v>200</v>
      </c>
      <c r="S81" s="3">
        <v>200</v>
      </c>
      <c r="T81" s="3">
        <v>200</v>
      </c>
      <c r="U81" s="3">
        <v>200</v>
      </c>
      <c r="V81" s="3">
        <v>200</v>
      </c>
      <c r="W81" s="3">
        <v>200</v>
      </c>
      <c r="X81" s="3">
        <v>200</v>
      </c>
      <c r="Y81" s="3">
        <v>200</v>
      </c>
      <c r="Z81" s="3">
        <v>200</v>
      </c>
      <c r="AA81" s="3">
        <v>200</v>
      </c>
      <c r="AB81" s="3">
        <v>200</v>
      </c>
      <c r="AC81" s="3">
        <v>200</v>
      </c>
      <c r="AD81" s="3">
        <v>200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</row>
    <row r="82" spans="1:76" ht="15.6" x14ac:dyDescent="0.3">
      <c r="A82" s="3" t="s">
        <v>70</v>
      </c>
      <c r="B82" s="3" t="s">
        <v>71</v>
      </c>
      <c r="C82" s="3" t="s">
        <v>127</v>
      </c>
      <c r="D82" s="3"/>
      <c r="E82" s="4" t="s">
        <v>130</v>
      </c>
      <c r="F82" s="3"/>
      <c r="G82" s="5">
        <v>46055</v>
      </c>
      <c r="H82" s="17">
        <v>46069</v>
      </c>
      <c r="I82" s="17">
        <f t="shared" si="14"/>
        <v>46115</v>
      </c>
      <c r="J82" s="16">
        <f t="shared" si="15"/>
        <v>46</v>
      </c>
      <c r="K82" s="3">
        <v>12000</v>
      </c>
      <c r="L82" s="3">
        <f t="shared" si="11"/>
        <v>9200</v>
      </c>
      <c r="M82" s="20" t="b">
        <f t="shared" si="16"/>
        <v>1</v>
      </c>
      <c r="O82" s="6" t="str">
        <f t="shared" si="12"/>
        <v>Open</v>
      </c>
      <c r="P82" s="3">
        <f t="shared" si="13"/>
        <v>46</v>
      </c>
      <c r="Q82" s="3">
        <v>200</v>
      </c>
      <c r="R82" s="3">
        <v>200</v>
      </c>
      <c r="S82" s="3">
        <v>200</v>
      </c>
      <c r="T82" s="3">
        <v>200</v>
      </c>
      <c r="U82" s="3">
        <v>200</v>
      </c>
      <c r="V82" s="3">
        <v>200</v>
      </c>
      <c r="W82" s="3">
        <v>200</v>
      </c>
      <c r="X82" s="3">
        <v>200</v>
      </c>
      <c r="Y82" s="3">
        <v>200</v>
      </c>
      <c r="Z82" s="3">
        <v>200</v>
      </c>
      <c r="AA82" s="3">
        <v>200</v>
      </c>
      <c r="AB82" s="3">
        <v>200</v>
      </c>
      <c r="AC82" s="3">
        <v>200</v>
      </c>
      <c r="AD82" s="3">
        <v>200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  <row r="83" spans="1:76" ht="15.6" x14ac:dyDescent="0.3">
      <c r="A83" s="3" t="s">
        <v>70</v>
      </c>
      <c r="B83" s="3" t="s">
        <v>71</v>
      </c>
      <c r="C83" s="3" t="s">
        <v>144</v>
      </c>
      <c r="D83" s="3"/>
      <c r="E83" s="4" t="s">
        <v>74</v>
      </c>
      <c r="F83" s="3"/>
      <c r="G83" s="5">
        <v>46055</v>
      </c>
      <c r="H83" s="17">
        <v>46069</v>
      </c>
      <c r="I83" s="17">
        <f t="shared" si="14"/>
        <v>46115</v>
      </c>
      <c r="J83" s="16">
        <f t="shared" si="15"/>
        <v>46</v>
      </c>
      <c r="K83" s="3">
        <v>12000</v>
      </c>
      <c r="L83" s="3">
        <f t="shared" si="11"/>
        <v>9200</v>
      </c>
      <c r="M83" s="20" t="b">
        <f t="shared" si="16"/>
        <v>1</v>
      </c>
      <c r="O83" s="6" t="str">
        <f t="shared" si="12"/>
        <v>Open</v>
      </c>
      <c r="P83" s="3">
        <f t="shared" si="13"/>
        <v>46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</row>
    <row r="84" spans="1:76" ht="15.6" x14ac:dyDescent="0.3">
      <c r="A84" s="3" t="s">
        <v>70</v>
      </c>
      <c r="B84" s="3" t="s">
        <v>71</v>
      </c>
      <c r="C84" s="3" t="s">
        <v>144</v>
      </c>
      <c r="D84" s="3"/>
      <c r="E84" s="4" t="s">
        <v>152</v>
      </c>
      <c r="F84" s="3"/>
      <c r="G84" s="5">
        <v>46055</v>
      </c>
      <c r="H84" s="17">
        <v>46069</v>
      </c>
      <c r="I84" s="17">
        <f t="shared" si="14"/>
        <v>46115</v>
      </c>
      <c r="J84" s="16">
        <f t="shared" si="15"/>
        <v>46</v>
      </c>
      <c r="K84" s="3">
        <v>12000</v>
      </c>
      <c r="L84" s="3">
        <f t="shared" si="11"/>
        <v>9200</v>
      </c>
      <c r="M84" s="20" t="b">
        <f t="shared" si="16"/>
        <v>1</v>
      </c>
      <c r="O84" s="6" t="str">
        <f t="shared" si="12"/>
        <v>Open</v>
      </c>
      <c r="P84" s="3">
        <f t="shared" si="13"/>
        <v>46</v>
      </c>
      <c r="Q84" s="3">
        <v>200</v>
      </c>
      <c r="R84" s="3">
        <v>200</v>
      </c>
      <c r="S84" s="3">
        <v>200</v>
      </c>
      <c r="T84" s="3">
        <v>200</v>
      </c>
      <c r="U84" s="3">
        <v>200</v>
      </c>
      <c r="V84" s="3">
        <v>200</v>
      </c>
      <c r="W84" s="3">
        <v>200</v>
      </c>
      <c r="X84" s="3">
        <v>200</v>
      </c>
      <c r="Y84" s="3">
        <v>200</v>
      </c>
      <c r="Z84" s="3">
        <v>200</v>
      </c>
      <c r="AA84" s="3">
        <v>200</v>
      </c>
      <c r="AB84" s="3">
        <v>200</v>
      </c>
      <c r="AC84" s="3">
        <v>200</v>
      </c>
      <c r="AD84" s="3">
        <v>200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1:76" ht="15.6" x14ac:dyDescent="0.3">
      <c r="A85" s="3" t="s">
        <v>70</v>
      </c>
      <c r="B85" s="3" t="s">
        <v>71</v>
      </c>
      <c r="C85" s="3" t="s">
        <v>99</v>
      </c>
      <c r="D85" s="3"/>
      <c r="E85" s="4" t="s">
        <v>104</v>
      </c>
      <c r="F85" s="3"/>
      <c r="G85" s="5">
        <v>46056</v>
      </c>
      <c r="H85" s="17">
        <v>46069</v>
      </c>
      <c r="I85" s="17">
        <f t="shared" si="14"/>
        <v>46116</v>
      </c>
      <c r="J85" s="16">
        <f t="shared" si="15"/>
        <v>47</v>
      </c>
      <c r="K85" s="3">
        <v>6000</v>
      </c>
      <c r="L85" s="3">
        <f t="shared" si="11"/>
        <v>4700</v>
      </c>
      <c r="M85" s="20" t="b">
        <f t="shared" si="16"/>
        <v>1</v>
      </c>
      <c r="O85" s="6" t="str">
        <f t="shared" si="12"/>
        <v>Open</v>
      </c>
      <c r="P85" s="3">
        <f t="shared" si="13"/>
        <v>47</v>
      </c>
      <c r="Q85" s="3">
        <v>100</v>
      </c>
      <c r="R85" s="3">
        <v>100</v>
      </c>
      <c r="S85" s="3">
        <v>100</v>
      </c>
      <c r="T85" s="3">
        <v>100</v>
      </c>
      <c r="U85" s="3">
        <v>100</v>
      </c>
      <c r="V85" s="3">
        <v>100</v>
      </c>
      <c r="W85" s="3">
        <v>100</v>
      </c>
      <c r="X85" s="3">
        <v>100</v>
      </c>
      <c r="Y85" s="3">
        <v>100</v>
      </c>
      <c r="Z85" s="3">
        <v>100</v>
      </c>
      <c r="AA85" s="3">
        <v>100</v>
      </c>
      <c r="AB85" s="3">
        <v>100</v>
      </c>
      <c r="AC85" s="3">
        <v>100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1:76" ht="15.6" x14ac:dyDescent="0.3">
      <c r="A86" s="3" t="s">
        <v>70</v>
      </c>
      <c r="B86" s="3" t="s">
        <v>71</v>
      </c>
      <c r="C86" s="3" t="s">
        <v>118</v>
      </c>
      <c r="D86" s="3"/>
      <c r="E86" s="4" t="s">
        <v>119</v>
      </c>
      <c r="F86" s="3"/>
      <c r="G86" s="5">
        <v>46056</v>
      </c>
      <c r="H86" s="17">
        <v>46069</v>
      </c>
      <c r="I86" s="17">
        <f t="shared" si="14"/>
        <v>46116</v>
      </c>
      <c r="J86" s="16">
        <f t="shared" si="15"/>
        <v>47</v>
      </c>
      <c r="K86" s="3">
        <v>12000</v>
      </c>
      <c r="L86" s="3">
        <f t="shared" si="11"/>
        <v>9400</v>
      </c>
      <c r="M86" s="20" t="b">
        <f t="shared" si="16"/>
        <v>1</v>
      </c>
      <c r="O86" s="6" t="str">
        <f t="shared" si="12"/>
        <v>Open</v>
      </c>
      <c r="P86" s="3">
        <f t="shared" si="13"/>
        <v>47</v>
      </c>
      <c r="Q86" s="3">
        <v>200</v>
      </c>
      <c r="R86" s="3">
        <v>200</v>
      </c>
      <c r="S86" s="3">
        <v>200</v>
      </c>
      <c r="T86" s="3">
        <v>200</v>
      </c>
      <c r="U86" s="3">
        <v>200</v>
      </c>
      <c r="V86" s="3">
        <v>200</v>
      </c>
      <c r="W86" s="3">
        <v>200</v>
      </c>
      <c r="X86" s="3">
        <v>200</v>
      </c>
      <c r="Y86" s="3">
        <v>200</v>
      </c>
      <c r="Z86" s="3">
        <v>200</v>
      </c>
      <c r="AA86" s="3">
        <v>200</v>
      </c>
      <c r="AB86" s="3">
        <v>200</v>
      </c>
      <c r="AC86" s="3">
        <v>200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  <row r="87" spans="1:76" s="10" customFormat="1" ht="15.6" x14ac:dyDescent="0.3">
      <c r="A87" s="3" t="s">
        <v>70</v>
      </c>
      <c r="B87" s="3" t="s">
        <v>71</v>
      </c>
      <c r="C87" s="7" t="s">
        <v>144</v>
      </c>
      <c r="D87" s="7"/>
      <c r="E87" s="8" t="s">
        <v>134</v>
      </c>
      <c r="F87" s="7"/>
      <c r="G87" s="9">
        <v>46024</v>
      </c>
      <c r="H87" s="17">
        <v>46069</v>
      </c>
      <c r="I87" s="17">
        <f t="shared" si="14"/>
        <v>46084</v>
      </c>
      <c r="J87" s="16">
        <f t="shared" si="15"/>
        <v>15</v>
      </c>
      <c r="K87" s="7">
        <v>12000</v>
      </c>
      <c r="L87" s="7">
        <f t="shared" si="11"/>
        <v>0</v>
      </c>
      <c r="M87" s="21"/>
      <c r="N87" s="10" t="s">
        <v>158</v>
      </c>
      <c r="O87" s="11" t="str">
        <f t="shared" si="12"/>
        <v>Closed</v>
      </c>
      <c r="P87" s="7">
        <f t="shared" si="13"/>
        <v>0</v>
      </c>
      <c r="Q87" s="7">
        <v>200</v>
      </c>
      <c r="R87" s="7">
        <v>200</v>
      </c>
      <c r="S87" s="7">
        <v>200</v>
      </c>
      <c r="T87" s="7">
        <v>200</v>
      </c>
      <c r="U87" s="7">
        <v>200</v>
      </c>
      <c r="V87" s="7">
        <v>200</v>
      </c>
      <c r="W87" s="7">
        <v>200</v>
      </c>
      <c r="X87" s="7">
        <v>200</v>
      </c>
      <c r="Y87" s="7">
        <v>200</v>
      </c>
      <c r="Z87" s="7">
        <v>200</v>
      </c>
      <c r="AA87" s="7">
        <v>200</v>
      </c>
      <c r="AB87" s="7">
        <v>200</v>
      </c>
      <c r="AC87" s="7">
        <v>200</v>
      </c>
      <c r="AD87" s="7">
        <v>200</v>
      </c>
      <c r="AE87" s="7">
        <v>200</v>
      </c>
      <c r="AF87" s="7">
        <v>200</v>
      </c>
      <c r="AG87" s="7">
        <v>200</v>
      </c>
      <c r="AH87" s="7">
        <v>200</v>
      </c>
      <c r="AI87" s="7">
        <v>200</v>
      </c>
      <c r="AJ87" s="7">
        <v>200</v>
      </c>
      <c r="AK87" s="7">
        <v>200</v>
      </c>
      <c r="AL87" s="7">
        <v>200</v>
      </c>
      <c r="AM87" s="7">
        <v>200</v>
      </c>
      <c r="AN87" s="7">
        <v>200</v>
      </c>
      <c r="AO87" s="7">
        <v>200</v>
      </c>
      <c r="AP87" s="7">
        <v>200</v>
      </c>
      <c r="AQ87" s="7">
        <v>200</v>
      </c>
      <c r="AR87" s="7">
        <v>200</v>
      </c>
      <c r="AS87" s="7">
        <v>200</v>
      </c>
      <c r="AT87" s="7">
        <v>200</v>
      </c>
      <c r="AU87" s="7">
        <v>200</v>
      </c>
      <c r="AV87" s="7">
        <v>200</v>
      </c>
      <c r="AW87" s="7">
        <v>200</v>
      </c>
      <c r="AX87" s="7">
        <v>200</v>
      </c>
      <c r="AY87" s="7">
        <v>200</v>
      </c>
      <c r="AZ87" s="7">
        <v>200</v>
      </c>
      <c r="BA87" s="7">
        <v>200</v>
      </c>
      <c r="BB87" s="7">
        <v>200</v>
      </c>
      <c r="BC87" s="7">
        <v>200</v>
      </c>
      <c r="BD87" s="7">
        <v>200</v>
      </c>
      <c r="BE87" s="7">
        <v>200</v>
      </c>
      <c r="BF87" s="7">
        <v>200</v>
      </c>
      <c r="BG87" s="7">
        <v>200</v>
      </c>
      <c r="BH87" s="7">
        <v>200</v>
      </c>
      <c r="BI87" s="7">
        <v>200</v>
      </c>
      <c r="BJ87" s="7">
        <v>200</v>
      </c>
      <c r="BK87" s="7">
        <v>200</v>
      </c>
      <c r="BL87" s="7">
        <v>200</v>
      </c>
      <c r="BM87" s="7">
        <v>200</v>
      </c>
      <c r="BN87" s="7">
        <v>200</v>
      </c>
      <c r="BO87" s="7">
        <v>200</v>
      </c>
      <c r="BP87" s="7">
        <v>200</v>
      </c>
      <c r="BQ87" s="7">
        <v>200</v>
      </c>
      <c r="BR87" s="7">
        <v>200</v>
      </c>
      <c r="BS87" s="7">
        <v>200</v>
      </c>
      <c r="BT87" s="7">
        <v>200</v>
      </c>
      <c r="BU87" s="7">
        <v>200</v>
      </c>
      <c r="BV87" s="7">
        <v>200</v>
      </c>
      <c r="BW87" s="7">
        <v>200</v>
      </c>
      <c r="BX87" s="7">
        <v>200</v>
      </c>
    </row>
    <row r="88" spans="1:76" ht="15.6" x14ac:dyDescent="0.3">
      <c r="A88" s="3" t="s">
        <v>70</v>
      </c>
      <c r="B88" s="3" t="s">
        <v>71</v>
      </c>
      <c r="C88" s="3" t="s">
        <v>118</v>
      </c>
      <c r="D88" s="3"/>
      <c r="E88" s="4" t="s">
        <v>120</v>
      </c>
      <c r="F88" s="3"/>
      <c r="G88" s="5">
        <v>46056</v>
      </c>
      <c r="H88" s="17">
        <v>46069</v>
      </c>
      <c r="I88" s="17">
        <f t="shared" si="14"/>
        <v>46116</v>
      </c>
      <c r="J88" s="16">
        <f t="shared" si="15"/>
        <v>47</v>
      </c>
      <c r="K88" s="3">
        <v>12000</v>
      </c>
      <c r="L88" s="3">
        <f t="shared" si="11"/>
        <v>9400</v>
      </c>
      <c r="M88" s="20" t="b">
        <f>J88=P88</f>
        <v>1</v>
      </c>
      <c r="O88" s="6" t="str">
        <f t="shared" si="12"/>
        <v>Open</v>
      </c>
      <c r="P88" s="3">
        <f t="shared" si="13"/>
        <v>47</v>
      </c>
      <c r="Q88" s="3">
        <v>200</v>
      </c>
      <c r="R88" s="3">
        <v>200</v>
      </c>
      <c r="S88" s="3">
        <v>200</v>
      </c>
      <c r="T88" s="3">
        <v>200</v>
      </c>
      <c r="U88" s="3">
        <v>200</v>
      </c>
      <c r="V88" s="3">
        <v>200</v>
      </c>
      <c r="W88" s="3">
        <v>200</v>
      </c>
      <c r="X88" s="3">
        <v>200</v>
      </c>
      <c r="Y88" s="3">
        <v>200</v>
      </c>
      <c r="Z88" s="3">
        <v>200</v>
      </c>
      <c r="AA88" s="3">
        <v>200</v>
      </c>
      <c r="AB88" s="3">
        <v>200</v>
      </c>
      <c r="AC88" s="3">
        <v>200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</row>
    <row r="89" spans="1:76" ht="15.6" x14ac:dyDescent="0.3">
      <c r="A89" s="3" t="s">
        <v>70</v>
      </c>
      <c r="B89" s="3" t="s">
        <v>71</v>
      </c>
      <c r="C89" s="3" t="s">
        <v>144</v>
      </c>
      <c r="D89" s="3"/>
      <c r="E89" s="4" t="s">
        <v>91</v>
      </c>
      <c r="F89" s="3"/>
      <c r="G89" s="5">
        <v>46027</v>
      </c>
      <c r="H89" s="17">
        <v>46069</v>
      </c>
      <c r="I89" s="17"/>
      <c r="K89" s="3">
        <v>12000</v>
      </c>
      <c r="L89" s="3">
        <f t="shared" si="11"/>
        <v>0</v>
      </c>
      <c r="M89" s="20"/>
      <c r="N89" s="2" t="s">
        <v>287</v>
      </c>
      <c r="O89" s="6" t="str">
        <f t="shared" si="12"/>
        <v>Closed</v>
      </c>
      <c r="P89" s="3">
        <f t="shared" si="13"/>
        <v>0</v>
      </c>
      <c r="Q89" s="3">
        <v>200</v>
      </c>
      <c r="R89" s="3">
        <v>200</v>
      </c>
      <c r="S89" s="3">
        <v>200</v>
      </c>
      <c r="T89" s="3">
        <v>200</v>
      </c>
      <c r="U89" s="3">
        <v>200</v>
      </c>
      <c r="V89" s="3">
        <v>200</v>
      </c>
      <c r="W89" s="3">
        <v>200</v>
      </c>
      <c r="X89" s="3">
        <v>200</v>
      </c>
      <c r="Y89" s="3">
        <v>200</v>
      </c>
      <c r="Z89" s="3">
        <v>200</v>
      </c>
      <c r="AA89" s="3">
        <v>200</v>
      </c>
      <c r="AB89" s="3">
        <v>200</v>
      </c>
      <c r="AC89" s="3">
        <v>200</v>
      </c>
      <c r="AD89" s="3">
        <v>200</v>
      </c>
      <c r="AE89" s="3">
        <v>200</v>
      </c>
      <c r="AF89" s="3">
        <v>200</v>
      </c>
      <c r="AG89" s="3">
        <v>200</v>
      </c>
      <c r="AH89" s="3">
        <v>200</v>
      </c>
      <c r="AI89" s="3">
        <v>200</v>
      </c>
      <c r="AJ89" s="3">
        <v>200</v>
      </c>
      <c r="AK89" s="3">
        <v>200</v>
      </c>
      <c r="AL89" s="3">
        <v>200</v>
      </c>
      <c r="AM89" s="3">
        <v>200</v>
      </c>
      <c r="AN89" s="3">
        <v>200</v>
      </c>
      <c r="AO89" s="3">
        <v>200</v>
      </c>
      <c r="AP89" s="3">
        <v>200</v>
      </c>
      <c r="AQ89" s="3">
        <v>200</v>
      </c>
      <c r="AR89" s="3">
        <v>200</v>
      </c>
      <c r="AS89" s="3">
        <v>200</v>
      </c>
      <c r="AT89" s="3">
        <v>200</v>
      </c>
      <c r="AU89" s="3">
        <v>200</v>
      </c>
      <c r="AV89" s="3">
        <v>200</v>
      </c>
      <c r="AW89" s="3">
        <v>200</v>
      </c>
      <c r="AX89" s="3">
        <v>200</v>
      </c>
      <c r="AY89" s="3">
        <v>200</v>
      </c>
      <c r="AZ89" s="3">
        <v>200</v>
      </c>
      <c r="BA89" s="3">
        <v>200</v>
      </c>
      <c r="BB89" s="3">
        <v>200</v>
      </c>
      <c r="BC89" s="3">
        <v>200</v>
      </c>
      <c r="BD89" s="3">
        <v>200</v>
      </c>
      <c r="BE89" s="3">
        <v>200</v>
      </c>
      <c r="BF89" s="3">
        <v>200</v>
      </c>
      <c r="BG89" s="3">
        <v>200</v>
      </c>
      <c r="BH89" s="3">
        <v>200</v>
      </c>
      <c r="BI89" s="3">
        <v>200</v>
      </c>
      <c r="BJ89" s="3">
        <v>200</v>
      </c>
      <c r="BK89" s="3">
        <v>200</v>
      </c>
      <c r="BL89" s="3">
        <v>200</v>
      </c>
      <c r="BM89" s="3">
        <v>200</v>
      </c>
      <c r="BN89" s="3">
        <v>200</v>
      </c>
      <c r="BO89" s="3">
        <v>200</v>
      </c>
      <c r="BP89" s="3">
        <v>200</v>
      </c>
      <c r="BQ89" s="3">
        <v>200</v>
      </c>
      <c r="BR89" s="3">
        <v>200</v>
      </c>
      <c r="BS89" s="3">
        <v>200</v>
      </c>
      <c r="BT89" s="3">
        <v>200</v>
      </c>
      <c r="BU89" s="3">
        <v>200</v>
      </c>
      <c r="BV89" s="3">
        <v>200</v>
      </c>
      <c r="BW89" s="3">
        <v>200</v>
      </c>
      <c r="BX89" s="3">
        <v>200</v>
      </c>
    </row>
    <row r="90" spans="1:76" ht="15.6" x14ac:dyDescent="0.3">
      <c r="A90" s="3" t="s">
        <v>70</v>
      </c>
      <c r="B90" s="3" t="s">
        <v>71</v>
      </c>
      <c r="C90" s="3" t="s">
        <v>118</v>
      </c>
      <c r="D90" s="3"/>
      <c r="E90" s="4" t="s">
        <v>121</v>
      </c>
      <c r="F90" s="3"/>
      <c r="G90" s="5">
        <v>46056</v>
      </c>
      <c r="H90" s="17">
        <v>46069</v>
      </c>
      <c r="I90" s="17">
        <f t="shared" ref="I90:I106" si="17">G90+60</f>
        <v>46116</v>
      </c>
      <c r="J90" s="16">
        <f t="shared" ref="J90:J106" si="18">I90-H90</f>
        <v>47</v>
      </c>
      <c r="K90" s="3">
        <v>12000</v>
      </c>
      <c r="L90" s="3">
        <f t="shared" si="11"/>
        <v>9400</v>
      </c>
      <c r="M90" s="20" t="b">
        <f t="shared" ref="M90:M106" si="19">J90=P90</f>
        <v>1</v>
      </c>
      <c r="O90" s="6" t="str">
        <f t="shared" si="12"/>
        <v>Open</v>
      </c>
      <c r="P90" s="3">
        <f t="shared" si="13"/>
        <v>47</v>
      </c>
      <c r="Q90" s="3">
        <v>200</v>
      </c>
      <c r="R90" s="3">
        <v>200</v>
      </c>
      <c r="S90" s="3">
        <v>200</v>
      </c>
      <c r="T90" s="3">
        <v>200</v>
      </c>
      <c r="U90" s="3">
        <v>200</v>
      </c>
      <c r="V90" s="3">
        <v>200</v>
      </c>
      <c r="W90" s="3">
        <v>200</v>
      </c>
      <c r="X90" s="3">
        <v>200</v>
      </c>
      <c r="Y90" s="3">
        <v>200</v>
      </c>
      <c r="Z90" s="3">
        <v>200</v>
      </c>
      <c r="AA90" s="3">
        <v>200</v>
      </c>
      <c r="AB90" s="3">
        <v>200</v>
      </c>
      <c r="AC90" s="3">
        <v>200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</row>
    <row r="91" spans="1:76" ht="15.6" x14ac:dyDescent="0.3">
      <c r="A91" s="3" t="s">
        <v>70</v>
      </c>
      <c r="B91" s="3" t="s">
        <v>71</v>
      </c>
      <c r="C91" s="3" t="s">
        <v>118</v>
      </c>
      <c r="D91" s="3"/>
      <c r="E91" s="4" t="s">
        <v>115</v>
      </c>
      <c r="F91" s="3"/>
      <c r="G91" s="5">
        <v>46056</v>
      </c>
      <c r="H91" s="17">
        <v>46069</v>
      </c>
      <c r="I91" s="17">
        <f t="shared" si="17"/>
        <v>46116</v>
      </c>
      <c r="J91" s="16">
        <f t="shared" si="18"/>
        <v>47</v>
      </c>
      <c r="K91" s="3">
        <v>6000</v>
      </c>
      <c r="L91" s="3">
        <f t="shared" si="11"/>
        <v>4700</v>
      </c>
      <c r="M91" s="20" t="b">
        <f t="shared" si="19"/>
        <v>1</v>
      </c>
      <c r="O91" s="6" t="str">
        <f t="shared" si="12"/>
        <v>Open</v>
      </c>
      <c r="P91" s="3">
        <f t="shared" si="13"/>
        <v>47</v>
      </c>
      <c r="Q91" s="3">
        <v>100</v>
      </c>
      <c r="R91" s="3">
        <v>100</v>
      </c>
      <c r="S91" s="3">
        <v>100</v>
      </c>
      <c r="T91" s="3">
        <v>100</v>
      </c>
      <c r="U91" s="3">
        <v>100</v>
      </c>
      <c r="V91" s="3">
        <v>100</v>
      </c>
      <c r="W91" s="3">
        <v>100</v>
      </c>
      <c r="X91" s="3">
        <v>100</v>
      </c>
      <c r="Y91" s="3">
        <v>100</v>
      </c>
      <c r="Z91" s="3">
        <v>100</v>
      </c>
      <c r="AA91" s="3">
        <v>100</v>
      </c>
      <c r="AB91" s="3">
        <v>100</v>
      </c>
      <c r="AC91" s="3">
        <v>100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</row>
    <row r="92" spans="1:76" ht="15.6" x14ac:dyDescent="0.3">
      <c r="A92" s="3" t="s">
        <v>70</v>
      </c>
      <c r="B92" s="3" t="s">
        <v>71</v>
      </c>
      <c r="C92" s="3" t="s">
        <v>118</v>
      </c>
      <c r="D92" s="3"/>
      <c r="E92" s="4" t="s">
        <v>122</v>
      </c>
      <c r="F92" s="3"/>
      <c r="G92" s="5">
        <v>46056</v>
      </c>
      <c r="H92" s="17">
        <v>46069</v>
      </c>
      <c r="I92" s="17">
        <f t="shared" si="17"/>
        <v>46116</v>
      </c>
      <c r="J92" s="16">
        <f t="shared" si="18"/>
        <v>47</v>
      </c>
      <c r="K92" s="3">
        <v>6000</v>
      </c>
      <c r="L92" s="3">
        <f t="shared" si="11"/>
        <v>4700</v>
      </c>
      <c r="M92" s="20" t="b">
        <f t="shared" si="19"/>
        <v>1</v>
      </c>
      <c r="O92" s="6" t="str">
        <f t="shared" si="12"/>
        <v>Open</v>
      </c>
      <c r="P92" s="3">
        <f t="shared" si="13"/>
        <v>47</v>
      </c>
      <c r="Q92" s="3">
        <v>100</v>
      </c>
      <c r="R92" s="3">
        <v>100</v>
      </c>
      <c r="S92" s="3">
        <v>100</v>
      </c>
      <c r="T92" s="3">
        <v>100</v>
      </c>
      <c r="U92" s="3">
        <v>100</v>
      </c>
      <c r="V92" s="3">
        <v>100</v>
      </c>
      <c r="W92" s="3">
        <v>100</v>
      </c>
      <c r="X92" s="3">
        <v>100</v>
      </c>
      <c r="Y92" s="3">
        <v>100</v>
      </c>
      <c r="Z92" s="3">
        <v>100</v>
      </c>
      <c r="AA92" s="3">
        <v>100</v>
      </c>
      <c r="AB92" s="3">
        <v>100</v>
      </c>
      <c r="AC92" s="3">
        <v>100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</row>
    <row r="93" spans="1:76" ht="15.6" x14ac:dyDescent="0.3">
      <c r="A93" s="3" t="s">
        <v>70</v>
      </c>
      <c r="B93" s="3" t="s">
        <v>71</v>
      </c>
      <c r="C93" s="3" t="s">
        <v>118</v>
      </c>
      <c r="D93" s="3"/>
      <c r="E93" s="4" t="s">
        <v>123</v>
      </c>
      <c r="F93" s="3"/>
      <c r="G93" s="5">
        <v>46056</v>
      </c>
      <c r="H93" s="17">
        <v>46069</v>
      </c>
      <c r="I93" s="17">
        <f t="shared" si="17"/>
        <v>46116</v>
      </c>
      <c r="J93" s="16">
        <f t="shared" si="18"/>
        <v>47</v>
      </c>
      <c r="K93" s="3">
        <v>6000</v>
      </c>
      <c r="L93" s="3">
        <f t="shared" si="11"/>
        <v>4700</v>
      </c>
      <c r="M93" s="20" t="b">
        <f t="shared" si="19"/>
        <v>1</v>
      </c>
      <c r="O93" s="6" t="str">
        <f t="shared" si="12"/>
        <v>Open</v>
      </c>
      <c r="P93" s="3">
        <f t="shared" si="13"/>
        <v>47</v>
      </c>
      <c r="Q93" s="3">
        <v>100</v>
      </c>
      <c r="R93" s="3">
        <v>100</v>
      </c>
      <c r="S93" s="3">
        <v>100</v>
      </c>
      <c r="T93" s="3">
        <v>100</v>
      </c>
      <c r="U93" s="3">
        <v>100</v>
      </c>
      <c r="V93" s="3">
        <v>100</v>
      </c>
      <c r="W93" s="3">
        <v>100</v>
      </c>
      <c r="X93" s="3">
        <v>100</v>
      </c>
      <c r="Y93" s="3">
        <v>100</v>
      </c>
      <c r="Z93" s="3">
        <v>100</v>
      </c>
      <c r="AA93" s="3">
        <v>100</v>
      </c>
      <c r="AB93" s="3">
        <v>100</v>
      </c>
      <c r="AC93" s="3">
        <v>100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</row>
    <row r="94" spans="1:76" ht="15.6" x14ac:dyDescent="0.3">
      <c r="A94" s="3" t="s">
        <v>70</v>
      </c>
      <c r="B94" s="3" t="s">
        <v>71</v>
      </c>
      <c r="C94" s="3" t="s">
        <v>127</v>
      </c>
      <c r="D94" s="3"/>
      <c r="E94" s="4" t="s">
        <v>131</v>
      </c>
      <c r="F94" s="3"/>
      <c r="G94" s="5">
        <v>46056</v>
      </c>
      <c r="H94" s="17">
        <v>46069</v>
      </c>
      <c r="I94" s="17">
        <f t="shared" si="17"/>
        <v>46116</v>
      </c>
      <c r="J94" s="16">
        <f t="shared" si="18"/>
        <v>47</v>
      </c>
      <c r="K94" s="3">
        <v>12000</v>
      </c>
      <c r="L94" s="3">
        <f t="shared" si="11"/>
        <v>9400</v>
      </c>
      <c r="M94" s="20" t="b">
        <f t="shared" si="19"/>
        <v>1</v>
      </c>
      <c r="O94" s="6" t="str">
        <f t="shared" si="12"/>
        <v>Open</v>
      </c>
      <c r="P94" s="3">
        <f t="shared" si="13"/>
        <v>47</v>
      </c>
      <c r="Q94" s="3">
        <v>200</v>
      </c>
      <c r="R94" s="3">
        <v>200</v>
      </c>
      <c r="S94" s="3">
        <v>200</v>
      </c>
      <c r="T94" s="3">
        <v>200</v>
      </c>
      <c r="U94" s="3">
        <v>200</v>
      </c>
      <c r="V94" s="3">
        <v>200</v>
      </c>
      <c r="W94" s="3">
        <v>200</v>
      </c>
      <c r="X94" s="3">
        <v>200</v>
      </c>
      <c r="Y94" s="3">
        <v>200</v>
      </c>
      <c r="Z94" s="3">
        <v>200</v>
      </c>
      <c r="AA94" s="3">
        <v>200</v>
      </c>
      <c r="AB94" s="3">
        <v>200</v>
      </c>
      <c r="AC94" s="3">
        <v>200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</row>
    <row r="95" spans="1:76" ht="15.6" x14ac:dyDescent="0.3">
      <c r="A95" s="3" t="s">
        <v>70</v>
      </c>
      <c r="B95" s="3" t="s">
        <v>71</v>
      </c>
      <c r="C95" s="3" t="s">
        <v>144</v>
      </c>
      <c r="D95" s="3"/>
      <c r="E95" s="4" t="s">
        <v>153</v>
      </c>
      <c r="F95" s="3"/>
      <c r="G95" s="5">
        <v>46056</v>
      </c>
      <c r="H95" s="17">
        <v>46069</v>
      </c>
      <c r="I95" s="17">
        <f t="shared" si="17"/>
        <v>46116</v>
      </c>
      <c r="J95" s="16">
        <f t="shared" si="18"/>
        <v>47</v>
      </c>
      <c r="K95" s="3">
        <v>12000</v>
      </c>
      <c r="L95" s="3">
        <f t="shared" si="11"/>
        <v>9400</v>
      </c>
      <c r="M95" s="20" t="b">
        <f t="shared" si="19"/>
        <v>1</v>
      </c>
      <c r="O95" s="6" t="str">
        <f t="shared" si="12"/>
        <v>Open</v>
      </c>
      <c r="P95" s="3">
        <f t="shared" si="13"/>
        <v>47</v>
      </c>
      <c r="Q95" s="3">
        <v>200</v>
      </c>
      <c r="R95" s="3">
        <v>200</v>
      </c>
      <c r="S95" s="3">
        <v>200</v>
      </c>
      <c r="T95" s="3">
        <v>200</v>
      </c>
      <c r="U95" s="3">
        <v>200</v>
      </c>
      <c r="V95" s="3">
        <v>200</v>
      </c>
      <c r="W95" s="3">
        <v>200</v>
      </c>
      <c r="X95" s="3">
        <v>200</v>
      </c>
      <c r="Y95" s="3">
        <v>200</v>
      </c>
      <c r="Z95" s="3">
        <v>200</v>
      </c>
      <c r="AA95" s="3">
        <v>200</v>
      </c>
      <c r="AB95" s="3">
        <v>200</v>
      </c>
      <c r="AC95" s="3">
        <v>200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</row>
    <row r="96" spans="1:76" ht="15.6" x14ac:dyDescent="0.3">
      <c r="A96" s="3" t="s">
        <v>70</v>
      </c>
      <c r="B96" s="3" t="s">
        <v>71</v>
      </c>
      <c r="C96" s="3" t="s">
        <v>132</v>
      </c>
      <c r="D96" s="3"/>
      <c r="E96" s="4" t="s">
        <v>139</v>
      </c>
      <c r="F96" s="3"/>
      <c r="G96" s="5">
        <v>46057</v>
      </c>
      <c r="H96" s="17">
        <v>46069</v>
      </c>
      <c r="I96" s="17">
        <f t="shared" si="17"/>
        <v>46117</v>
      </c>
      <c r="J96" s="16">
        <f t="shared" si="18"/>
        <v>48</v>
      </c>
      <c r="K96" s="3">
        <v>6000</v>
      </c>
      <c r="L96" s="3">
        <f t="shared" si="11"/>
        <v>4800</v>
      </c>
      <c r="M96" s="20" t="b">
        <f t="shared" si="19"/>
        <v>1</v>
      </c>
      <c r="O96" s="6" t="str">
        <f t="shared" si="12"/>
        <v>Open</v>
      </c>
      <c r="P96" s="3">
        <f t="shared" si="13"/>
        <v>48</v>
      </c>
      <c r="Q96" s="3">
        <v>100</v>
      </c>
      <c r="R96" s="3">
        <v>100</v>
      </c>
      <c r="S96" s="3">
        <v>100</v>
      </c>
      <c r="T96" s="3">
        <v>100</v>
      </c>
      <c r="U96" s="3">
        <v>100</v>
      </c>
      <c r="V96" s="3">
        <v>100</v>
      </c>
      <c r="W96" s="3">
        <v>100</v>
      </c>
      <c r="X96" s="3">
        <v>100</v>
      </c>
      <c r="Y96" s="3">
        <v>100</v>
      </c>
      <c r="Z96" s="3">
        <v>100</v>
      </c>
      <c r="AA96" s="3">
        <v>100</v>
      </c>
      <c r="AB96" s="3">
        <v>100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</row>
    <row r="97" spans="1:76" ht="15.6" x14ac:dyDescent="0.3">
      <c r="A97" s="3" t="s">
        <v>70</v>
      </c>
      <c r="B97" s="3" t="s">
        <v>71</v>
      </c>
      <c r="C97" s="3" t="s">
        <v>140</v>
      </c>
      <c r="D97" s="3"/>
      <c r="E97" s="4" t="s">
        <v>141</v>
      </c>
      <c r="F97" s="3"/>
      <c r="G97" s="5">
        <v>46057</v>
      </c>
      <c r="H97" s="17">
        <v>46069</v>
      </c>
      <c r="I97" s="17">
        <f t="shared" si="17"/>
        <v>46117</v>
      </c>
      <c r="J97" s="16">
        <f t="shared" si="18"/>
        <v>48</v>
      </c>
      <c r="K97" s="3">
        <v>6000</v>
      </c>
      <c r="L97" s="3">
        <f t="shared" si="11"/>
        <v>4800</v>
      </c>
      <c r="M97" s="20" t="b">
        <f t="shared" si="19"/>
        <v>1</v>
      </c>
      <c r="O97" s="6" t="str">
        <f t="shared" si="12"/>
        <v>Open</v>
      </c>
      <c r="P97" s="3">
        <f t="shared" si="13"/>
        <v>48</v>
      </c>
      <c r="Q97" s="3">
        <v>100</v>
      </c>
      <c r="R97" s="3">
        <v>100</v>
      </c>
      <c r="S97" s="3">
        <v>100</v>
      </c>
      <c r="T97" s="3">
        <v>100</v>
      </c>
      <c r="U97" s="3">
        <v>100</v>
      </c>
      <c r="V97" s="3">
        <v>100</v>
      </c>
      <c r="W97" s="3">
        <v>100</v>
      </c>
      <c r="X97" s="3">
        <v>100</v>
      </c>
      <c r="Y97" s="3">
        <v>100</v>
      </c>
      <c r="Z97" s="3">
        <v>100</v>
      </c>
      <c r="AA97" s="3">
        <v>100</v>
      </c>
      <c r="AB97" s="3">
        <v>100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</row>
    <row r="98" spans="1:76" ht="15.6" x14ac:dyDescent="0.3">
      <c r="A98" s="3" t="s">
        <v>70</v>
      </c>
      <c r="B98" s="3" t="s">
        <v>71</v>
      </c>
      <c r="C98" s="3" t="s">
        <v>140</v>
      </c>
      <c r="D98" s="3"/>
      <c r="E98" s="4" t="s">
        <v>130</v>
      </c>
      <c r="F98" s="3"/>
      <c r="G98" s="5">
        <v>46057</v>
      </c>
      <c r="H98" s="17">
        <v>46069</v>
      </c>
      <c r="I98" s="17">
        <f t="shared" si="17"/>
        <v>46117</v>
      </c>
      <c r="J98" s="16">
        <f t="shared" si="18"/>
        <v>48</v>
      </c>
      <c r="K98" s="3">
        <v>12000</v>
      </c>
      <c r="L98" s="3">
        <f t="shared" si="11"/>
        <v>9600</v>
      </c>
      <c r="M98" s="20" t="b">
        <f t="shared" si="19"/>
        <v>1</v>
      </c>
      <c r="O98" s="6" t="str">
        <f t="shared" si="12"/>
        <v>Open</v>
      </c>
      <c r="P98" s="3">
        <f t="shared" si="13"/>
        <v>48</v>
      </c>
      <c r="Q98" s="3">
        <v>200</v>
      </c>
      <c r="R98" s="3">
        <v>200</v>
      </c>
      <c r="S98" s="3">
        <v>200</v>
      </c>
      <c r="T98" s="3">
        <v>200</v>
      </c>
      <c r="U98" s="3">
        <v>200</v>
      </c>
      <c r="V98" s="3">
        <v>200</v>
      </c>
      <c r="W98" s="3">
        <v>200</v>
      </c>
      <c r="X98" s="3">
        <v>200</v>
      </c>
      <c r="Y98" s="3">
        <v>200</v>
      </c>
      <c r="Z98" s="3">
        <v>200</v>
      </c>
      <c r="AA98" s="3">
        <v>200</v>
      </c>
      <c r="AB98" s="3">
        <v>200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</row>
    <row r="99" spans="1:76" ht="15.6" x14ac:dyDescent="0.3">
      <c r="A99" s="3" t="s">
        <v>70</v>
      </c>
      <c r="B99" s="3" t="s">
        <v>71</v>
      </c>
      <c r="C99" s="3" t="s">
        <v>140</v>
      </c>
      <c r="D99" s="3"/>
      <c r="E99" s="4" t="s">
        <v>142</v>
      </c>
      <c r="F99" s="3"/>
      <c r="G99" s="5">
        <v>46057</v>
      </c>
      <c r="H99" s="17">
        <v>46069</v>
      </c>
      <c r="I99" s="17">
        <f t="shared" si="17"/>
        <v>46117</v>
      </c>
      <c r="J99" s="16">
        <f t="shared" si="18"/>
        <v>48</v>
      </c>
      <c r="K99" s="3">
        <v>12000</v>
      </c>
      <c r="L99" s="3">
        <f t="shared" si="11"/>
        <v>9600</v>
      </c>
      <c r="M99" s="20" t="b">
        <f t="shared" si="19"/>
        <v>1</v>
      </c>
      <c r="O99" s="6" t="str">
        <f t="shared" si="12"/>
        <v>Open</v>
      </c>
      <c r="P99" s="3">
        <f t="shared" si="13"/>
        <v>48</v>
      </c>
      <c r="Q99" s="3">
        <v>200</v>
      </c>
      <c r="R99" s="3">
        <v>200</v>
      </c>
      <c r="S99" s="3">
        <v>200</v>
      </c>
      <c r="T99" s="3">
        <v>200</v>
      </c>
      <c r="U99" s="3">
        <v>200</v>
      </c>
      <c r="V99" s="3">
        <v>200</v>
      </c>
      <c r="W99" s="3">
        <v>200</v>
      </c>
      <c r="X99" s="3">
        <v>200</v>
      </c>
      <c r="Y99" s="3">
        <v>200</v>
      </c>
      <c r="Z99" s="3">
        <v>200</v>
      </c>
      <c r="AA99" s="3">
        <v>200</v>
      </c>
      <c r="AB99" s="3">
        <v>200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</row>
    <row r="100" spans="1:76" ht="15.6" x14ac:dyDescent="0.3">
      <c r="A100" s="3" t="s">
        <v>70</v>
      </c>
      <c r="B100" s="3" t="s">
        <v>71</v>
      </c>
      <c r="C100" s="3" t="s">
        <v>140</v>
      </c>
      <c r="D100" s="3"/>
      <c r="E100" s="4" t="s">
        <v>74</v>
      </c>
      <c r="F100" s="3"/>
      <c r="G100" s="5">
        <v>46057</v>
      </c>
      <c r="H100" s="17">
        <v>46069</v>
      </c>
      <c r="I100" s="17">
        <f t="shared" si="17"/>
        <v>46117</v>
      </c>
      <c r="J100" s="16">
        <f t="shared" si="18"/>
        <v>48</v>
      </c>
      <c r="K100" s="3">
        <v>12000</v>
      </c>
      <c r="L100" s="3">
        <f t="shared" si="11"/>
        <v>9600</v>
      </c>
      <c r="M100" s="20" t="b">
        <f t="shared" si="19"/>
        <v>1</v>
      </c>
      <c r="O100" s="6" t="str">
        <f t="shared" si="12"/>
        <v>Open</v>
      </c>
      <c r="P100" s="3">
        <f t="shared" si="13"/>
        <v>48</v>
      </c>
      <c r="Q100" s="3">
        <v>200</v>
      </c>
      <c r="R100" s="3">
        <v>200</v>
      </c>
      <c r="S100" s="3">
        <v>200</v>
      </c>
      <c r="T100" s="3">
        <v>200</v>
      </c>
      <c r="U100" s="3">
        <v>200</v>
      </c>
      <c r="V100" s="3">
        <v>200</v>
      </c>
      <c r="W100" s="3">
        <v>200</v>
      </c>
      <c r="X100" s="3">
        <v>200</v>
      </c>
      <c r="Y100" s="3">
        <v>200</v>
      </c>
      <c r="Z100" s="3">
        <v>200</v>
      </c>
      <c r="AA100" s="3">
        <v>200</v>
      </c>
      <c r="AB100" s="3">
        <v>200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</row>
    <row r="101" spans="1:76" ht="15.6" x14ac:dyDescent="0.3">
      <c r="A101" s="3" t="s">
        <v>70</v>
      </c>
      <c r="B101" s="3" t="s">
        <v>71</v>
      </c>
      <c r="C101" s="3" t="s">
        <v>70</v>
      </c>
      <c r="D101" s="3"/>
      <c r="E101" s="4" t="s">
        <v>91</v>
      </c>
      <c r="F101" s="3"/>
      <c r="G101" s="5">
        <v>46058</v>
      </c>
      <c r="H101" s="17">
        <v>46069</v>
      </c>
      <c r="I101" s="17">
        <f t="shared" si="17"/>
        <v>46118</v>
      </c>
      <c r="J101" s="16">
        <f t="shared" si="18"/>
        <v>49</v>
      </c>
      <c r="K101" s="3">
        <v>6000</v>
      </c>
      <c r="L101" s="3">
        <f t="shared" si="11"/>
        <v>4900</v>
      </c>
      <c r="M101" s="20" t="b">
        <f t="shared" si="19"/>
        <v>1</v>
      </c>
      <c r="O101" s="6" t="str">
        <f t="shared" si="12"/>
        <v>Open</v>
      </c>
      <c r="P101" s="3">
        <f t="shared" si="13"/>
        <v>49</v>
      </c>
      <c r="Q101" s="3">
        <v>100</v>
      </c>
      <c r="R101" s="3">
        <v>100</v>
      </c>
      <c r="S101" s="3">
        <v>100</v>
      </c>
      <c r="T101" s="3">
        <v>100</v>
      </c>
      <c r="U101" s="3">
        <v>100</v>
      </c>
      <c r="V101" s="3">
        <v>100</v>
      </c>
      <c r="W101" s="3">
        <v>100</v>
      </c>
      <c r="X101" s="3">
        <v>100</v>
      </c>
      <c r="Y101" s="3">
        <v>100</v>
      </c>
      <c r="Z101" s="3">
        <v>100</v>
      </c>
      <c r="AA101" s="3">
        <v>100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</row>
    <row r="102" spans="1:76" ht="15.6" x14ac:dyDescent="0.3">
      <c r="A102" s="3" t="s">
        <v>70</v>
      </c>
      <c r="B102" s="3" t="s">
        <v>71</v>
      </c>
      <c r="C102" s="3" t="s">
        <v>140</v>
      </c>
      <c r="D102" s="3"/>
      <c r="E102" s="4" t="s">
        <v>143</v>
      </c>
      <c r="F102" s="3"/>
      <c r="G102" s="5">
        <v>46058</v>
      </c>
      <c r="H102" s="17">
        <v>46069</v>
      </c>
      <c r="I102" s="17">
        <f t="shared" si="17"/>
        <v>46118</v>
      </c>
      <c r="J102" s="16">
        <f t="shared" si="18"/>
        <v>49</v>
      </c>
      <c r="K102" s="3">
        <v>12000</v>
      </c>
      <c r="L102" s="3">
        <f t="shared" si="11"/>
        <v>9800</v>
      </c>
      <c r="M102" s="20" t="b">
        <f t="shared" si="19"/>
        <v>1</v>
      </c>
      <c r="O102" s="6" t="str">
        <f t="shared" si="12"/>
        <v>Open</v>
      </c>
      <c r="P102" s="3">
        <f t="shared" si="13"/>
        <v>49</v>
      </c>
      <c r="Q102" s="3">
        <v>200</v>
      </c>
      <c r="R102" s="3">
        <v>200</v>
      </c>
      <c r="S102" s="3">
        <v>200</v>
      </c>
      <c r="T102" s="3">
        <v>200</v>
      </c>
      <c r="U102" s="3">
        <v>200</v>
      </c>
      <c r="V102" s="3">
        <v>200</v>
      </c>
      <c r="W102" s="3">
        <v>200</v>
      </c>
      <c r="X102" s="3">
        <v>200</v>
      </c>
      <c r="Y102" s="3">
        <v>200</v>
      </c>
      <c r="Z102" s="3">
        <v>200</v>
      </c>
      <c r="AA102" s="3">
        <v>200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</row>
    <row r="103" spans="1:76" ht="15.6" x14ac:dyDescent="0.3">
      <c r="A103" s="3" t="s">
        <v>70</v>
      </c>
      <c r="B103" s="3" t="s">
        <v>71</v>
      </c>
      <c r="C103" s="3" t="s">
        <v>144</v>
      </c>
      <c r="D103" s="3"/>
      <c r="E103" s="4" t="s">
        <v>103</v>
      </c>
      <c r="F103" s="3"/>
      <c r="G103" s="5">
        <v>46058</v>
      </c>
      <c r="H103" s="17">
        <v>46069</v>
      </c>
      <c r="I103" s="17">
        <f t="shared" si="17"/>
        <v>46118</v>
      </c>
      <c r="J103" s="16">
        <f t="shared" si="18"/>
        <v>49</v>
      </c>
      <c r="K103" s="3">
        <v>12000</v>
      </c>
      <c r="L103" s="3">
        <f t="shared" si="11"/>
        <v>9800</v>
      </c>
      <c r="M103" s="20" t="b">
        <f t="shared" si="19"/>
        <v>1</v>
      </c>
      <c r="O103" s="6" t="str">
        <f t="shared" si="12"/>
        <v>Open</v>
      </c>
      <c r="P103" s="3">
        <f t="shared" si="13"/>
        <v>49</v>
      </c>
      <c r="Q103" s="3">
        <v>200</v>
      </c>
      <c r="R103" s="3">
        <v>200</v>
      </c>
      <c r="S103" s="3">
        <v>200</v>
      </c>
      <c r="T103" s="3">
        <v>200</v>
      </c>
      <c r="U103" s="3">
        <v>200</v>
      </c>
      <c r="V103" s="3">
        <v>200</v>
      </c>
      <c r="W103" s="3">
        <v>200</v>
      </c>
      <c r="X103" s="3">
        <v>200</v>
      </c>
      <c r="Y103" s="3">
        <v>200</v>
      </c>
      <c r="Z103" s="3">
        <v>200</v>
      </c>
      <c r="AA103" s="3">
        <v>200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</row>
    <row r="104" spans="1:76" ht="15.6" x14ac:dyDescent="0.3">
      <c r="A104" s="3" t="s">
        <v>70</v>
      </c>
      <c r="B104" s="3" t="s">
        <v>71</v>
      </c>
      <c r="C104" s="3" t="s">
        <v>118</v>
      </c>
      <c r="D104" s="3"/>
      <c r="E104" s="3" t="s">
        <v>155</v>
      </c>
      <c r="F104" s="3"/>
      <c r="G104" s="5">
        <v>46059</v>
      </c>
      <c r="H104" s="17">
        <v>46069</v>
      </c>
      <c r="I104" s="17">
        <f t="shared" si="17"/>
        <v>46119</v>
      </c>
      <c r="J104" s="16">
        <f t="shared" si="18"/>
        <v>50</v>
      </c>
      <c r="K104" s="3">
        <v>12000</v>
      </c>
      <c r="L104" s="3">
        <f t="shared" si="11"/>
        <v>10000</v>
      </c>
      <c r="M104" s="20" t="b">
        <f t="shared" si="19"/>
        <v>1</v>
      </c>
      <c r="O104" s="6" t="str">
        <f t="shared" si="12"/>
        <v>Open</v>
      </c>
      <c r="P104" s="3">
        <f t="shared" si="13"/>
        <v>50</v>
      </c>
      <c r="Q104" s="3">
        <v>200</v>
      </c>
      <c r="R104" s="3">
        <v>200</v>
      </c>
      <c r="S104" s="3">
        <v>200</v>
      </c>
      <c r="T104" s="3">
        <v>200</v>
      </c>
      <c r="U104" s="3">
        <v>200</v>
      </c>
      <c r="V104" s="3">
        <v>200</v>
      </c>
      <c r="W104" s="3">
        <v>200</v>
      </c>
      <c r="X104" s="3">
        <v>200</v>
      </c>
      <c r="Y104" s="3">
        <v>200</v>
      </c>
      <c r="Z104" s="3">
        <v>200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1:76" ht="15.6" x14ac:dyDescent="0.3">
      <c r="A105" s="3" t="s">
        <v>70</v>
      </c>
      <c r="B105" s="3" t="s">
        <v>71</v>
      </c>
      <c r="C105" s="2" t="s">
        <v>140</v>
      </c>
      <c r="E105" s="2" t="s">
        <v>156</v>
      </c>
      <c r="G105" s="5">
        <v>46059</v>
      </c>
      <c r="H105" s="17">
        <v>46069</v>
      </c>
      <c r="I105" s="17">
        <f t="shared" si="17"/>
        <v>46119</v>
      </c>
      <c r="J105" s="16">
        <f t="shared" si="18"/>
        <v>50</v>
      </c>
      <c r="K105" s="2">
        <v>12000</v>
      </c>
      <c r="L105" s="3">
        <f t="shared" si="11"/>
        <v>10000</v>
      </c>
      <c r="M105" s="20" t="b">
        <f t="shared" si="19"/>
        <v>1</v>
      </c>
      <c r="O105" s="6" t="str">
        <f t="shared" si="12"/>
        <v>Open</v>
      </c>
      <c r="P105" s="3">
        <f t="shared" si="13"/>
        <v>50</v>
      </c>
      <c r="Q105" s="2">
        <v>200</v>
      </c>
      <c r="R105" s="2">
        <v>200</v>
      </c>
      <c r="S105" s="2">
        <v>200</v>
      </c>
      <c r="T105" s="2">
        <v>200</v>
      </c>
      <c r="U105" s="2">
        <v>200</v>
      </c>
      <c r="V105" s="2">
        <v>200</v>
      </c>
      <c r="W105" s="2">
        <v>200</v>
      </c>
      <c r="X105" s="2">
        <v>200</v>
      </c>
      <c r="Y105" s="2">
        <v>200</v>
      </c>
      <c r="Z105" s="2">
        <v>200</v>
      </c>
    </row>
    <row r="106" spans="1:76" ht="15.6" x14ac:dyDescent="0.3">
      <c r="A106" s="3" t="s">
        <v>70</v>
      </c>
      <c r="B106" s="3" t="s">
        <v>71</v>
      </c>
      <c r="C106" s="2" t="s">
        <v>144</v>
      </c>
      <c r="E106" s="2" t="s">
        <v>134</v>
      </c>
      <c r="G106" s="5">
        <v>46059</v>
      </c>
      <c r="H106" s="17">
        <v>46069</v>
      </c>
      <c r="I106" s="17">
        <f t="shared" si="17"/>
        <v>46119</v>
      </c>
      <c r="J106" s="16">
        <f t="shared" si="18"/>
        <v>50</v>
      </c>
      <c r="K106" s="2">
        <v>12000</v>
      </c>
      <c r="L106" s="3">
        <f t="shared" si="11"/>
        <v>10000</v>
      </c>
      <c r="M106" s="20" t="b">
        <f t="shared" si="19"/>
        <v>1</v>
      </c>
      <c r="O106" s="6" t="str">
        <f t="shared" si="12"/>
        <v>Open</v>
      </c>
      <c r="P106" s="3">
        <f t="shared" si="13"/>
        <v>50</v>
      </c>
      <c r="Q106" s="2">
        <v>200</v>
      </c>
      <c r="R106" s="2">
        <v>200</v>
      </c>
      <c r="S106" s="2">
        <v>200</v>
      </c>
      <c r="T106" s="2">
        <v>200</v>
      </c>
      <c r="U106" s="2">
        <v>200</v>
      </c>
      <c r="V106" s="2">
        <v>200</v>
      </c>
      <c r="W106" s="2">
        <v>200</v>
      </c>
      <c r="X106" s="2">
        <v>200</v>
      </c>
      <c r="Y106" s="2">
        <v>200</v>
      </c>
      <c r="Z106" s="2">
        <v>200</v>
      </c>
    </row>
    <row r="107" spans="1:76" s="12" customFormat="1" ht="15.6" x14ac:dyDescent="0.3">
      <c r="A107" s="12" t="s">
        <v>159</v>
      </c>
      <c r="B107" s="2" t="s">
        <v>270</v>
      </c>
      <c r="C107" s="12" t="s">
        <v>160</v>
      </c>
      <c r="D107" s="12">
        <v>2</v>
      </c>
      <c r="E107" s="12" t="s">
        <v>161</v>
      </c>
      <c r="G107" s="13" t="e">
        <f>#REF!</f>
        <v>#REF!</v>
      </c>
      <c r="H107" s="17">
        <v>46069</v>
      </c>
      <c r="I107" s="18"/>
      <c r="J107" s="16"/>
      <c r="K107" s="12">
        <v>12000</v>
      </c>
      <c r="L107" s="14">
        <f t="shared" si="11"/>
        <v>1400</v>
      </c>
      <c r="M107" s="22"/>
      <c r="O107" s="15" t="str">
        <f t="shared" si="12"/>
        <v>Open</v>
      </c>
      <c r="P107" s="14">
        <f t="shared" si="13"/>
        <v>7</v>
      </c>
      <c r="Q107" s="12">
        <v>200</v>
      </c>
      <c r="R107" s="12">
        <v>200</v>
      </c>
      <c r="S107" s="12">
        <v>200</v>
      </c>
      <c r="T107" s="12">
        <v>200</v>
      </c>
      <c r="U107" s="12">
        <v>200</v>
      </c>
      <c r="V107" s="12">
        <v>200</v>
      </c>
      <c r="W107" s="12">
        <v>200</v>
      </c>
      <c r="X107" s="12">
        <v>200</v>
      </c>
      <c r="Y107" s="12">
        <v>200</v>
      </c>
      <c r="Z107" s="12">
        <v>200</v>
      </c>
      <c r="AA107" s="12">
        <v>200</v>
      </c>
      <c r="AB107" s="12">
        <v>200</v>
      </c>
      <c r="AC107" s="12">
        <v>200</v>
      </c>
      <c r="AD107" s="12">
        <v>200</v>
      </c>
      <c r="AE107" s="12">
        <v>200</v>
      </c>
      <c r="AF107" s="12">
        <v>200</v>
      </c>
      <c r="AG107" s="12">
        <v>200</v>
      </c>
      <c r="AH107" s="12">
        <v>200</v>
      </c>
      <c r="AI107" s="12">
        <v>200</v>
      </c>
      <c r="AJ107" s="12">
        <v>200</v>
      </c>
      <c r="AK107" s="12">
        <v>200</v>
      </c>
      <c r="AL107" s="12">
        <v>200</v>
      </c>
      <c r="AM107" s="12">
        <v>200</v>
      </c>
      <c r="AN107" s="12">
        <v>200</v>
      </c>
      <c r="AO107" s="12">
        <v>200</v>
      </c>
      <c r="AP107" s="12">
        <v>200</v>
      </c>
      <c r="AQ107" s="12">
        <v>200</v>
      </c>
      <c r="AR107" s="12">
        <v>200</v>
      </c>
      <c r="AS107" s="12">
        <v>200</v>
      </c>
      <c r="AT107" s="12">
        <v>200</v>
      </c>
      <c r="AU107" s="12">
        <v>200</v>
      </c>
      <c r="AV107" s="12">
        <v>200</v>
      </c>
      <c r="AW107" s="12">
        <v>200</v>
      </c>
      <c r="AX107" s="12">
        <v>200</v>
      </c>
      <c r="AY107" s="12">
        <v>200</v>
      </c>
      <c r="AZ107" s="12">
        <v>200</v>
      </c>
      <c r="BA107" s="12">
        <v>200</v>
      </c>
      <c r="BB107" s="12">
        <v>200</v>
      </c>
      <c r="BC107" s="12">
        <v>200</v>
      </c>
      <c r="BD107" s="12">
        <v>200</v>
      </c>
      <c r="BE107" s="12">
        <v>200</v>
      </c>
      <c r="BF107" s="12">
        <v>200</v>
      </c>
      <c r="BG107" s="12">
        <v>200</v>
      </c>
      <c r="BH107" s="12">
        <v>200</v>
      </c>
      <c r="BI107" s="12">
        <v>200</v>
      </c>
      <c r="BJ107" s="12">
        <v>200</v>
      </c>
      <c r="BK107" s="12">
        <v>200</v>
      </c>
      <c r="BL107" s="12">
        <v>200</v>
      </c>
      <c r="BM107" s="12">
        <v>200</v>
      </c>
      <c r="BN107" s="12">
        <v>200</v>
      </c>
      <c r="BO107" s="12">
        <v>200</v>
      </c>
      <c r="BP107" s="12">
        <v>200</v>
      </c>
      <c r="BQ107" s="12">
        <v>200</v>
      </c>
    </row>
    <row r="108" spans="1:76" ht="15.6" x14ac:dyDescent="0.3">
      <c r="A108" s="12" t="s">
        <v>159</v>
      </c>
      <c r="B108" s="2" t="s">
        <v>270</v>
      </c>
      <c r="C108" s="12" t="s">
        <v>160</v>
      </c>
      <c r="E108" s="2" t="s">
        <v>162</v>
      </c>
      <c r="G108" s="5"/>
      <c r="H108" s="17">
        <v>46069</v>
      </c>
      <c r="I108" s="18"/>
      <c r="K108" s="12">
        <v>12000</v>
      </c>
      <c r="L108" s="3">
        <f t="shared" si="11"/>
        <v>4400</v>
      </c>
      <c r="M108" s="20"/>
      <c r="O108" s="6" t="str">
        <f t="shared" si="12"/>
        <v>Open</v>
      </c>
      <c r="P108" s="3">
        <f t="shared" si="13"/>
        <v>22</v>
      </c>
      <c r="Q108" s="2">
        <v>200</v>
      </c>
      <c r="R108" s="2">
        <v>200</v>
      </c>
      <c r="S108" s="2">
        <v>200</v>
      </c>
      <c r="T108" s="2">
        <v>200</v>
      </c>
      <c r="U108" s="2">
        <v>200</v>
      </c>
      <c r="V108" s="2">
        <v>200</v>
      </c>
      <c r="W108" s="2">
        <v>200</v>
      </c>
      <c r="X108" s="2">
        <v>200</v>
      </c>
      <c r="Y108" s="2">
        <v>200</v>
      </c>
      <c r="Z108" s="2">
        <v>200</v>
      </c>
      <c r="AA108" s="2">
        <v>200</v>
      </c>
      <c r="AB108" s="2">
        <v>200</v>
      </c>
      <c r="AC108" s="2">
        <v>200</v>
      </c>
      <c r="AD108" s="2">
        <v>200</v>
      </c>
      <c r="AE108" s="2">
        <v>200</v>
      </c>
      <c r="AF108" s="2">
        <v>200</v>
      </c>
      <c r="AG108" s="2">
        <v>200</v>
      </c>
      <c r="AH108" s="2">
        <v>200</v>
      </c>
      <c r="AI108" s="2">
        <v>200</v>
      </c>
      <c r="AJ108" s="2">
        <v>200</v>
      </c>
      <c r="AK108" s="2">
        <v>200</v>
      </c>
      <c r="AL108" s="2">
        <v>200</v>
      </c>
      <c r="AM108" s="2">
        <v>200</v>
      </c>
      <c r="AN108" s="2">
        <v>200</v>
      </c>
      <c r="AO108" s="2">
        <v>200</v>
      </c>
      <c r="AP108" s="2">
        <v>200</v>
      </c>
      <c r="AQ108" s="2">
        <v>200</v>
      </c>
      <c r="AR108" s="2">
        <v>200</v>
      </c>
      <c r="AS108" s="2">
        <v>200</v>
      </c>
      <c r="AT108" s="2">
        <v>200</v>
      </c>
      <c r="AU108" s="2">
        <v>200</v>
      </c>
      <c r="AV108" s="2">
        <v>200</v>
      </c>
      <c r="AW108" s="2">
        <v>200</v>
      </c>
      <c r="AX108" s="2">
        <v>200</v>
      </c>
      <c r="AY108" s="2">
        <v>200</v>
      </c>
      <c r="AZ108" s="2">
        <v>200</v>
      </c>
      <c r="BA108" s="2">
        <v>200</v>
      </c>
      <c r="BB108" s="2">
        <v>200</v>
      </c>
    </row>
    <row r="109" spans="1:76" ht="15.6" x14ac:dyDescent="0.3">
      <c r="A109" s="12" t="s">
        <v>159</v>
      </c>
      <c r="B109" s="2" t="s">
        <v>270</v>
      </c>
      <c r="C109" s="12" t="s">
        <v>160</v>
      </c>
      <c r="E109" s="2" t="s">
        <v>96</v>
      </c>
      <c r="G109" s="5"/>
      <c r="H109" s="17">
        <v>46069</v>
      </c>
      <c r="I109" s="18"/>
      <c r="K109" s="2">
        <v>3000</v>
      </c>
      <c r="L109" s="3">
        <f t="shared" si="11"/>
        <v>1500</v>
      </c>
      <c r="M109" s="20"/>
      <c r="O109" s="6" t="str">
        <f t="shared" si="12"/>
        <v>Open</v>
      </c>
      <c r="P109" s="3">
        <f t="shared" si="13"/>
        <v>30</v>
      </c>
      <c r="Q109" s="2">
        <v>50</v>
      </c>
      <c r="R109" s="2">
        <v>50</v>
      </c>
      <c r="S109" s="2">
        <v>50</v>
      </c>
      <c r="T109" s="2">
        <v>50</v>
      </c>
      <c r="U109" s="2">
        <v>50</v>
      </c>
      <c r="V109" s="2">
        <v>50</v>
      </c>
      <c r="W109" s="2">
        <v>50</v>
      </c>
      <c r="X109" s="2">
        <v>50</v>
      </c>
      <c r="Y109" s="2">
        <v>50</v>
      </c>
      <c r="Z109" s="2">
        <v>50</v>
      </c>
      <c r="AA109" s="2">
        <v>50</v>
      </c>
      <c r="AB109" s="2">
        <v>50</v>
      </c>
      <c r="AC109" s="2">
        <v>50</v>
      </c>
      <c r="AD109" s="2">
        <v>50</v>
      </c>
      <c r="AE109" s="2">
        <v>50</v>
      </c>
      <c r="AF109" s="2">
        <v>50</v>
      </c>
      <c r="AG109" s="2">
        <v>50</v>
      </c>
      <c r="AH109" s="2">
        <v>50</v>
      </c>
      <c r="AI109" s="2">
        <v>50</v>
      </c>
      <c r="AJ109" s="2">
        <v>50</v>
      </c>
      <c r="AK109" s="2">
        <v>50</v>
      </c>
      <c r="AL109" s="2">
        <v>50</v>
      </c>
      <c r="AM109" s="2">
        <v>50</v>
      </c>
      <c r="AN109" s="2">
        <v>50</v>
      </c>
      <c r="AO109" s="2">
        <v>50</v>
      </c>
      <c r="AP109" s="2">
        <v>50</v>
      </c>
      <c r="AQ109" s="2">
        <v>50</v>
      </c>
      <c r="AR109" s="2">
        <v>50</v>
      </c>
      <c r="AS109" s="2">
        <v>50</v>
      </c>
      <c r="AT109" s="2">
        <v>50</v>
      </c>
    </row>
    <row r="110" spans="1:76" ht="15.6" x14ac:dyDescent="0.3">
      <c r="A110" s="12" t="s">
        <v>159</v>
      </c>
      <c r="B110" s="2" t="s">
        <v>270</v>
      </c>
      <c r="C110" s="12" t="s">
        <v>160</v>
      </c>
      <c r="E110" s="2" t="s">
        <v>163</v>
      </c>
      <c r="G110" s="5"/>
      <c r="H110" s="17">
        <v>46069</v>
      </c>
      <c r="I110" s="18"/>
      <c r="K110" s="2">
        <v>12000</v>
      </c>
      <c r="L110" s="3">
        <f t="shared" si="11"/>
        <v>7800</v>
      </c>
      <c r="M110" s="20"/>
      <c r="O110" s="6" t="str">
        <f t="shared" si="12"/>
        <v>Open</v>
      </c>
      <c r="P110" s="3">
        <f t="shared" si="13"/>
        <v>39</v>
      </c>
      <c r="Q110" s="2">
        <v>200</v>
      </c>
      <c r="R110" s="2">
        <v>200</v>
      </c>
      <c r="S110" s="2">
        <v>200</v>
      </c>
      <c r="T110" s="2">
        <v>200</v>
      </c>
      <c r="U110" s="2">
        <v>200</v>
      </c>
      <c r="V110" s="2">
        <v>200</v>
      </c>
      <c r="W110" s="2">
        <v>200</v>
      </c>
      <c r="X110" s="2">
        <v>200</v>
      </c>
      <c r="Y110" s="2">
        <v>200</v>
      </c>
      <c r="Z110" s="2">
        <v>200</v>
      </c>
      <c r="AA110" s="2">
        <v>200</v>
      </c>
      <c r="AB110" s="2">
        <v>200</v>
      </c>
      <c r="AC110" s="2">
        <v>200</v>
      </c>
      <c r="AD110" s="2">
        <v>200</v>
      </c>
      <c r="AE110" s="2">
        <v>200</v>
      </c>
      <c r="AF110" s="2">
        <v>200</v>
      </c>
      <c r="AG110" s="2">
        <v>200</v>
      </c>
      <c r="AH110" s="2">
        <v>200</v>
      </c>
      <c r="AI110" s="2">
        <v>200</v>
      </c>
      <c r="AJ110" s="2">
        <v>200</v>
      </c>
      <c r="AK110" s="2">
        <v>200</v>
      </c>
    </row>
    <row r="111" spans="1:76" ht="15.6" x14ac:dyDescent="0.3">
      <c r="A111" s="12" t="s">
        <v>159</v>
      </c>
      <c r="B111" s="2" t="s">
        <v>270</v>
      </c>
      <c r="C111" s="12" t="s">
        <v>160</v>
      </c>
      <c r="E111" s="2" t="s">
        <v>164</v>
      </c>
      <c r="G111" s="5"/>
      <c r="H111" s="17">
        <v>46069</v>
      </c>
      <c r="I111" s="18"/>
      <c r="K111" s="2">
        <v>12000</v>
      </c>
      <c r="L111" s="3">
        <f t="shared" si="11"/>
        <v>8200</v>
      </c>
      <c r="M111" s="20"/>
      <c r="O111" s="6" t="str">
        <f t="shared" si="12"/>
        <v>Open</v>
      </c>
      <c r="P111" s="3">
        <f t="shared" si="13"/>
        <v>41</v>
      </c>
      <c r="Q111" s="2">
        <v>200</v>
      </c>
      <c r="R111" s="2">
        <v>200</v>
      </c>
      <c r="S111" s="2">
        <v>200</v>
      </c>
      <c r="T111" s="2">
        <v>200</v>
      </c>
      <c r="U111" s="2">
        <v>200</v>
      </c>
      <c r="V111" s="2">
        <v>200</v>
      </c>
      <c r="W111" s="2">
        <v>200</v>
      </c>
      <c r="X111" s="2">
        <v>200</v>
      </c>
      <c r="Y111" s="2">
        <v>200</v>
      </c>
      <c r="Z111" s="2">
        <v>200</v>
      </c>
      <c r="AA111" s="2">
        <v>200</v>
      </c>
      <c r="AB111" s="2">
        <v>200</v>
      </c>
      <c r="AC111" s="2">
        <v>200</v>
      </c>
      <c r="AD111" s="2">
        <v>200</v>
      </c>
      <c r="AE111" s="2">
        <v>200</v>
      </c>
      <c r="AF111" s="2">
        <v>200</v>
      </c>
      <c r="AG111" s="2">
        <v>200</v>
      </c>
      <c r="AH111" s="2">
        <v>200</v>
      </c>
      <c r="AI111" s="2">
        <v>200</v>
      </c>
    </row>
    <row r="112" spans="1:76" ht="15.6" x14ac:dyDescent="0.3">
      <c r="A112" s="12" t="s">
        <v>159</v>
      </c>
      <c r="B112" s="2" t="s">
        <v>270</v>
      </c>
      <c r="C112" s="12" t="s">
        <v>160</v>
      </c>
      <c r="E112" s="2" t="s">
        <v>165</v>
      </c>
      <c r="G112" s="5"/>
      <c r="H112" s="17">
        <v>46069</v>
      </c>
      <c r="I112" s="18"/>
      <c r="K112" s="2">
        <v>6000</v>
      </c>
      <c r="L112" s="3">
        <f t="shared" si="11"/>
        <v>4500</v>
      </c>
      <c r="M112" s="20"/>
      <c r="O112" s="6" t="str">
        <f t="shared" si="12"/>
        <v>Open</v>
      </c>
      <c r="P112" s="3">
        <f t="shared" si="13"/>
        <v>45</v>
      </c>
      <c r="Q112" s="2">
        <v>100</v>
      </c>
      <c r="R112" s="2">
        <v>100</v>
      </c>
      <c r="S112" s="2">
        <v>100</v>
      </c>
      <c r="T112" s="2">
        <v>100</v>
      </c>
      <c r="U112" s="2">
        <v>100</v>
      </c>
      <c r="V112" s="2">
        <v>100</v>
      </c>
      <c r="W112" s="2">
        <v>100</v>
      </c>
      <c r="X112" s="2">
        <v>100</v>
      </c>
      <c r="Y112" s="2">
        <v>100</v>
      </c>
      <c r="Z112" s="2">
        <v>100</v>
      </c>
      <c r="AA112" s="2">
        <v>100</v>
      </c>
      <c r="AB112" s="2">
        <v>100</v>
      </c>
      <c r="AC112" s="2">
        <v>100</v>
      </c>
      <c r="AD112" s="2">
        <v>100</v>
      </c>
      <c r="AE112" s="2">
        <v>100</v>
      </c>
    </row>
    <row r="113" spans="1:68" ht="15.6" x14ac:dyDescent="0.3">
      <c r="A113" s="12" t="s">
        <v>159</v>
      </c>
      <c r="B113" s="2" t="s">
        <v>270</v>
      </c>
      <c r="C113" s="12" t="s">
        <v>160</v>
      </c>
      <c r="E113" s="2" t="s">
        <v>166</v>
      </c>
      <c r="G113" s="5"/>
      <c r="H113" s="17">
        <v>46069</v>
      </c>
      <c r="I113" s="18"/>
      <c r="K113" s="2">
        <v>12000</v>
      </c>
      <c r="L113" s="3">
        <f t="shared" si="11"/>
        <v>11400</v>
      </c>
      <c r="M113" s="20"/>
      <c r="O113" s="6" t="str">
        <f t="shared" si="12"/>
        <v>Open</v>
      </c>
      <c r="P113" s="3">
        <f t="shared" si="13"/>
        <v>57</v>
      </c>
      <c r="Q113" s="2">
        <v>200</v>
      </c>
      <c r="R113" s="2">
        <v>200</v>
      </c>
      <c r="S113" s="2">
        <v>200</v>
      </c>
    </row>
    <row r="114" spans="1:68" ht="15.6" x14ac:dyDescent="0.3">
      <c r="A114" s="12" t="s">
        <v>159</v>
      </c>
      <c r="B114" s="2" t="s">
        <v>270</v>
      </c>
      <c r="C114" s="12" t="s">
        <v>167</v>
      </c>
      <c r="E114" s="2" t="s">
        <v>168</v>
      </c>
      <c r="G114" s="5"/>
      <c r="H114" s="17">
        <v>46069</v>
      </c>
      <c r="I114" s="18"/>
      <c r="K114" s="2">
        <v>12000</v>
      </c>
      <c r="L114" s="3">
        <f t="shared" si="11"/>
        <v>11400</v>
      </c>
      <c r="M114" s="20"/>
      <c r="O114" s="6" t="str">
        <f t="shared" si="12"/>
        <v>Open</v>
      </c>
      <c r="P114" s="3">
        <f t="shared" si="13"/>
        <v>57</v>
      </c>
      <c r="Q114" s="2">
        <v>200</v>
      </c>
      <c r="R114" s="2">
        <v>200</v>
      </c>
      <c r="S114" s="2">
        <v>200</v>
      </c>
    </row>
    <row r="115" spans="1:68" ht="15.6" x14ac:dyDescent="0.3">
      <c r="A115" s="12" t="s">
        <v>159</v>
      </c>
      <c r="B115" s="2" t="s">
        <v>270</v>
      </c>
      <c r="C115" s="12" t="s">
        <v>167</v>
      </c>
      <c r="E115" s="2" t="s">
        <v>169</v>
      </c>
      <c r="G115" s="5"/>
      <c r="H115" s="17">
        <v>46069</v>
      </c>
      <c r="I115" s="18"/>
      <c r="K115" s="2">
        <v>12000</v>
      </c>
      <c r="L115" s="3">
        <f t="shared" si="11"/>
        <v>1600</v>
      </c>
      <c r="M115" s="20"/>
      <c r="O115" s="6" t="str">
        <f t="shared" si="12"/>
        <v>Open</v>
      </c>
      <c r="P115" s="3">
        <f t="shared" si="13"/>
        <v>8</v>
      </c>
      <c r="Q115" s="2">
        <v>200</v>
      </c>
      <c r="R115" s="2">
        <v>200</v>
      </c>
      <c r="S115" s="2">
        <v>200</v>
      </c>
      <c r="T115" s="2">
        <v>200</v>
      </c>
      <c r="U115" s="2">
        <v>200</v>
      </c>
      <c r="V115" s="2">
        <v>200</v>
      </c>
      <c r="W115" s="2">
        <v>200</v>
      </c>
      <c r="X115" s="2">
        <v>200</v>
      </c>
      <c r="Y115" s="2">
        <v>200</v>
      </c>
      <c r="Z115" s="2">
        <v>200</v>
      </c>
      <c r="AA115" s="2">
        <v>200</v>
      </c>
      <c r="AB115" s="2">
        <v>200</v>
      </c>
      <c r="AC115" s="2">
        <v>200</v>
      </c>
      <c r="AD115" s="2">
        <v>200</v>
      </c>
      <c r="AE115" s="2">
        <v>200</v>
      </c>
      <c r="AF115" s="2">
        <v>200</v>
      </c>
      <c r="AG115" s="2">
        <v>200</v>
      </c>
      <c r="AH115" s="2">
        <v>200</v>
      </c>
      <c r="AI115" s="2">
        <v>200</v>
      </c>
      <c r="AJ115" s="2">
        <v>200</v>
      </c>
      <c r="AK115" s="2">
        <v>200</v>
      </c>
      <c r="AL115" s="2">
        <v>200</v>
      </c>
      <c r="AM115" s="2">
        <v>200</v>
      </c>
      <c r="AN115" s="2">
        <v>200</v>
      </c>
      <c r="AO115" s="2">
        <v>200</v>
      </c>
      <c r="AP115" s="2">
        <v>200</v>
      </c>
      <c r="AQ115" s="2">
        <v>200</v>
      </c>
      <c r="AR115" s="2">
        <v>200</v>
      </c>
      <c r="AS115" s="2">
        <v>200</v>
      </c>
      <c r="AT115" s="2">
        <v>200</v>
      </c>
      <c r="AU115" s="2">
        <v>200</v>
      </c>
      <c r="AV115" s="2">
        <v>200</v>
      </c>
      <c r="AW115" s="2">
        <v>200</v>
      </c>
      <c r="AX115" s="2">
        <v>200</v>
      </c>
      <c r="AY115" s="2">
        <v>200</v>
      </c>
      <c r="AZ115" s="2">
        <v>200</v>
      </c>
      <c r="BA115" s="2">
        <v>200</v>
      </c>
      <c r="BB115" s="2">
        <v>200</v>
      </c>
      <c r="BC115" s="2">
        <v>200</v>
      </c>
      <c r="BD115" s="2">
        <v>200</v>
      </c>
      <c r="BE115" s="2">
        <v>200</v>
      </c>
      <c r="BF115" s="2">
        <v>200</v>
      </c>
      <c r="BG115" s="2">
        <v>200</v>
      </c>
      <c r="BH115" s="2">
        <v>200</v>
      </c>
      <c r="BI115" s="2">
        <v>200</v>
      </c>
      <c r="BJ115" s="2">
        <v>200</v>
      </c>
      <c r="BK115" s="2">
        <v>200</v>
      </c>
      <c r="BL115" s="2">
        <v>200</v>
      </c>
      <c r="BM115" s="2">
        <v>200</v>
      </c>
      <c r="BN115" s="2">
        <v>200</v>
      </c>
      <c r="BO115" s="2">
        <v>200</v>
      </c>
      <c r="BP115" s="2">
        <v>200</v>
      </c>
    </row>
    <row r="116" spans="1:68" ht="15.6" x14ac:dyDescent="0.3">
      <c r="A116" s="12" t="s">
        <v>159</v>
      </c>
      <c r="B116" s="2" t="s">
        <v>270</v>
      </c>
      <c r="C116" s="12" t="s">
        <v>167</v>
      </c>
      <c r="E116" s="2" t="s">
        <v>142</v>
      </c>
      <c r="G116" s="5"/>
      <c r="H116" s="17">
        <v>46069</v>
      </c>
      <c r="I116" s="18"/>
      <c r="K116" s="2">
        <v>6000</v>
      </c>
      <c r="L116" s="3">
        <f t="shared" si="11"/>
        <v>2000</v>
      </c>
      <c r="M116" s="20"/>
      <c r="O116" s="6" t="str">
        <f t="shared" si="12"/>
        <v>Open</v>
      </c>
      <c r="P116" s="3">
        <f t="shared" si="13"/>
        <v>20</v>
      </c>
      <c r="Q116" s="2">
        <v>100</v>
      </c>
      <c r="R116" s="2">
        <v>100</v>
      </c>
      <c r="S116" s="2">
        <v>100</v>
      </c>
      <c r="T116" s="2">
        <v>100</v>
      </c>
      <c r="U116" s="2">
        <v>100</v>
      </c>
      <c r="V116" s="2">
        <v>100</v>
      </c>
      <c r="W116" s="2">
        <v>100</v>
      </c>
      <c r="X116" s="2">
        <v>100</v>
      </c>
      <c r="Y116" s="2">
        <v>100</v>
      </c>
      <c r="Z116" s="2">
        <v>100</v>
      </c>
      <c r="AA116" s="2">
        <v>100</v>
      </c>
      <c r="AB116" s="2">
        <v>100</v>
      </c>
      <c r="AC116" s="2">
        <v>100</v>
      </c>
      <c r="AD116" s="2">
        <v>100</v>
      </c>
      <c r="AE116" s="2">
        <v>100</v>
      </c>
      <c r="AF116" s="2">
        <v>100</v>
      </c>
      <c r="AG116" s="2">
        <v>100</v>
      </c>
      <c r="AH116" s="2">
        <v>100</v>
      </c>
      <c r="AI116" s="2">
        <v>100</v>
      </c>
      <c r="AJ116" s="2">
        <v>100</v>
      </c>
      <c r="AK116" s="2">
        <v>100</v>
      </c>
      <c r="AL116" s="2">
        <v>100</v>
      </c>
      <c r="AM116" s="2">
        <v>100</v>
      </c>
      <c r="AN116" s="2">
        <v>100</v>
      </c>
      <c r="AO116" s="2">
        <v>100</v>
      </c>
      <c r="AP116" s="2">
        <v>100</v>
      </c>
      <c r="AQ116" s="2">
        <v>100</v>
      </c>
      <c r="AR116" s="2">
        <v>100</v>
      </c>
      <c r="AS116" s="2">
        <v>100</v>
      </c>
      <c r="AT116" s="2">
        <v>100</v>
      </c>
      <c r="AU116" s="2">
        <v>100</v>
      </c>
      <c r="AV116" s="2">
        <v>100</v>
      </c>
      <c r="AW116" s="2">
        <v>100</v>
      </c>
      <c r="AX116" s="2">
        <v>100</v>
      </c>
      <c r="AY116" s="2">
        <v>100</v>
      </c>
      <c r="AZ116" s="2">
        <v>100</v>
      </c>
      <c r="BA116" s="2">
        <v>100</v>
      </c>
      <c r="BB116" s="2">
        <v>100</v>
      </c>
      <c r="BC116" s="2">
        <v>100</v>
      </c>
      <c r="BD116" s="2">
        <v>100</v>
      </c>
    </row>
    <row r="117" spans="1:68" ht="15.6" x14ac:dyDescent="0.3">
      <c r="A117" s="12" t="s">
        <v>159</v>
      </c>
      <c r="B117" s="2" t="s">
        <v>270</v>
      </c>
      <c r="C117" s="12" t="s">
        <v>167</v>
      </c>
      <c r="E117" s="2" t="s">
        <v>170</v>
      </c>
      <c r="G117" s="5"/>
      <c r="H117" s="17">
        <v>46069</v>
      </c>
      <c r="I117" s="18"/>
      <c r="K117" s="2">
        <v>12000</v>
      </c>
      <c r="L117" s="3">
        <f t="shared" si="11"/>
        <v>4600</v>
      </c>
      <c r="M117" s="20"/>
      <c r="O117" s="6" t="str">
        <f t="shared" si="12"/>
        <v>Open</v>
      </c>
      <c r="P117" s="3">
        <f t="shared" si="13"/>
        <v>23</v>
      </c>
      <c r="Q117" s="2">
        <v>200</v>
      </c>
      <c r="R117" s="2">
        <v>200</v>
      </c>
      <c r="S117" s="2">
        <v>200</v>
      </c>
      <c r="T117" s="2">
        <v>200</v>
      </c>
      <c r="U117" s="2">
        <v>200</v>
      </c>
      <c r="V117" s="2">
        <v>200</v>
      </c>
      <c r="W117" s="2">
        <v>200</v>
      </c>
      <c r="X117" s="2">
        <v>200</v>
      </c>
      <c r="Y117" s="2">
        <v>200</v>
      </c>
      <c r="Z117" s="2">
        <v>200</v>
      </c>
      <c r="AA117" s="2">
        <v>200</v>
      </c>
      <c r="AB117" s="2">
        <v>200</v>
      </c>
      <c r="AC117" s="2">
        <v>200</v>
      </c>
      <c r="AD117" s="2">
        <v>200</v>
      </c>
      <c r="AE117" s="2">
        <v>200</v>
      </c>
      <c r="AF117" s="2">
        <v>200</v>
      </c>
      <c r="AG117" s="2">
        <v>200</v>
      </c>
      <c r="AH117" s="2">
        <v>200</v>
      </c>
      <c r="AI117" s="2">
        <v>200</v>
      </c>
      <c r="AJ117" s="2">
        <v>200</v>
      </c>
      <c r="AK117" s="2">
        <v>200</v>
      </c>
      <c r="AL117" s="2">
        <v>200</v>
      </c>
      <c r="AM117" s="2">
        <v>200</v>
      </c>
      <c r="AN117" s="2">
        <v>200</v>
      </c>
      <c r="AO117" s="2">
        <v>200</v>
      </c>
      <c r="AP117" s="2">
        <v>200</v>
      </c>
      <c r="AQ117" s="2">
        <v>200</v>
      </c>
      <c r="AR117" s="2">
        <v>200</v>
      </c>
      <c r="AS117" s="2">
        <v>200</v>
      </c>
      <c r="AT117" s="2">
        <v>200</v>
      </c>
      <c r="AU117" s="2">
        <v>200</v>
      </c>
      <c r="AV117" s="2">
        <v>200</v>
      </c>
      <c r="AW117" s="2">
        <v>200</v>
      </c>
      <c r="AX117" s="2">
        <v>200</v>
      </c>
      <c r="AY117" s="2">
        <v>200</v>
      </c>
      <c r="AZ117" s="2">
        <v>200</v>
      </c>
      <c r="BA117" s="2">
        <v>200</v>
      </c>
    </row>
    <row r="118" spans="1:68" ht="15.6" x14ac:dyDescent="0.3">
      <c r="A118" s="12" t="s">
        <v>159</v>
      </c>
      <c r="B118" s="2" t="s">
        <v>270</v>
      </c>
      <c r="C118" s="12" t="s">
        <v>167</v>
      </c>
      <c r="E118" s="2" t="s">
        <v>135</v>
      </c>
      <c r="G118" s="5"/>
      <c r="H118" s="17">
        <v>46069</v>
      </c>
      <c r="I118" s="18"/>
      <c r="K118" s="2">
        <v>12000</v>
      </c>
      <c r="L118" s="3">
        <f t="shared" si="11"/>
        <v>4800</v>
      </c>
      <c r="M118" s="20"/>
      <c r="O118" s="6" t="str">
        <f t="shared" si="12"/>
        <v>Open</v>
      </c>
      <c r="P118" s="3">
        <f t="shared" si="13"/>
        <v>24</v>
      </c>
      <c r="Q118" s="2">
        <v>200</v>
      </c>
      <c r="R118" s="2">
        <v>200</v>
      </c>
      <c r="S118" s="2">
        <v>200</v>
      </c>
      <c r="T118" s="2">
        <v>200</v>
      </c>
      <c r="U118" s="2">
        <v>200</v>
      </c>
      <c r="V118" s="2">
        <v>200</v>
      </c>
      <c r="W118" s="2">
        <v>200</v>
      </c>
      <c r="X118" s="2">
        <v>200</v>
      </c>
      <c r="Y118" s="2">
        <v>200</v>
      </c>
      <c r="Z118" s="2">
        <v>200</v>
      </c>
      <c r="AA118" s="2">
        <v>200</v>
      </c>
      <c r="AB118" s="2">
        <v>200</v>
      </c>
      <c r="AC118" s="2">
        <v>200</v>
      </c>
      <c r="AD118" s="2">
        <v>200</v>
      </c>
      <c r="AE118" s="2">
        <v>200</v>
      </c>
      <c r="AF118" s="2">
        <v>200</v>
      </c>
      <c r="AG118" s="2">
        <v>200</v>
      </c>
      <c r="AH118" s="2">
        <v>200</v>
      </c>
      <c r="AI118" s="2">
        <v>200</v>
      </c>
      <c r="AJ118" s="2">
        <v>200</v>
      </c>
      <c r="AK118" s="2">
        <v>200</v>
      </c>
      <c r="AL118" s="2">
        <v>200</v>
      </c>
      <c r="AM118" s="2">
        <v>200</v>
      </c>
      <c r="AN118" s="2">
        <v>200</v>
      </c>
      <c r="AO118" s="2">
        <v>200</v>
      </c>
      <c r="AP118" s="2">
        <v>200</v>
      </c>
      <c r="AQ118" s="2">
        <v>200</v>
      </c>
      <c r="AR118" s="2">
        <v>200</v>
      </c>
      <c r="AS118" s="2">
        <v>200</v>
      </c>
      <c r="AT118" s="2">
        <v>200</v>
      </c>
      <c r="AU118" s="2">
        <v>200</v>
      </c>
      <c r="AV118" s="2">
        <v>200</v>
      </c>
      <c r="AW118" s="2">
        <v>200</v>
      </c>
      <c r="AX118" s="2">
        <v>200</v>
      </c>
      <c r="AY118" s="2">
        <v>200</v>
      </c>
      <c r="AZ118" s="2">
        <v>200</v>
      </c>
    </row>
    <row r="119" spans="1:68" ht="15.6" x14ac:dyDescent="0.3">
      <c r="A119" s="12" t="s">
        <v>159</v>
      </c>
      <c r="B119" s="2" t="s">
        <v>270</v>
      </c>
      <c r="C119" s="12" t="s">
        <v>167</v>
      </c>
      <c r="E119" s="2" t="s">
        <v>96</v>
      </c>
      <c r="G119" s="5"/>
      <c r="H119" s="17">
        <v>46069</v>
      </c>
      <c r="I119" s="18"/>
      <c r="K119" s="2">
        <v>6000</v>
      </c>
      <c r="L119" s="3">
        <f t="shared" si="11"/>
        <v>3100</v>
      </c>
      <c r="M119" s="20"/>
      <c r="O119" s="6" t="str">
        <f t="shared" si="12"/>
        <v>Open</v>
      </c>
      <c r="P119" s="3">
        <f t="shared" si="13"/>
        <v>31</v>
      </c>
      <c r="Q119" s="2">
        <v>100</v>
      </c>
      <c r="R119" s="2">
        <v>100</v>
      </c>
      <c r="S119" s="2">
        <v>100</v>
      </c>
      <c r="T119" s="2">
        <v>100</v>
      </c>
      <c r="U119" s="2">
        <v>100</v>
      </c>
      <c r="V119" s="2">
        <v>100</v>
      </c>
      <c r="W119" s="2">
        <v>100</v>
      </c>
      <c r="X119" s="2">
        <v>100</v>
      </c>
      <c r="Y119" s="2">
        <v>100</v>
      </c>
      <c r="Z119" s="2">
        <v>100</v>
      </c>
      <c r="AA119" s="2">
        <v>100</v>
      </c>
      <c r="AB119" s="2">
        <v>100</v>
      </c>
      <c r="AC119" s="2">
        <v>100</v>
      </c>
      <c r="AD119" s="2">
        <v>100</v>
      </c>
      <c r="AE119" s="2">
        <v>100</v>
      </c>
      <c r="AF119" s="2">
        <v>100</v>
      </c>
      <c r="AG119" s="2">
        <v>100</v>
      </c>
      <c r="AH119" s="2">
        <v>100</v>
      </c>
      <c r="AI119" s="2">
        <v>100</v>
      </c>
      <c r="AJ119" s="2">
        <v>100</v>
      </c>
      <c r="AK119" s="2">
        <v>100</v>
      </c>
      <c r="AL119" s="2">
        <v>100</v>
      </c>
      <c r="AM119" s="2">
        <v>100</v>
      </c>
      <c r="AN119" s="2">
        <v>100</v>
      </c>
      <c r="AO119" s="2">
        <v>100</v>
      </c>
      <c r="AP119" s="2">
        <v>100</v>
      </c>
      <c r="AQ119" s="2">
        <v>100</v>
      </c>
      <c r="AR119" s="2">
        <v>100</v>
      </c>
      <c r="AS119" s="2">
        <v>100</v>
      </c>
    </row>
    <row r="120" spans="1:68" ht="15.6" x14ac:dyDescent="0.3">
      <c r="A120" s="12" t="s">
        <v>159</v>
      </c>
      <c r="B120" s="2" t="s">
        <v>270</v>
      </c>
      <c r="C120" s="12" t="s">
        <v>167</v>
      </c>
      <c r="E120" s="2" t="s">
        <v>171</v>
      </c>
      <c r="G120" s="5"/>
      <c r="H120" s="17">
        <v>46069</v>
      </c>
      <c r="I120" s="18"/>
      <c r="K120" s="2">
        <v>12000</v>
      </c>
      <c r="L120" s="3">
        <f t="shared" si="11"/>
        <v>6400</v>
      </c>
      <c r="M120" s="20"/>
      <c r="O120" s="6" t="str">
        <f t="shared" si="12"/>
        <v>Open</v>
      </c>
      <c r="P120" s="3">
        <f t="shared" si="13"/>
        <v>32</v>
      </c>
      <c r="Q120" s="2">
        <v>200</v>
      </c>
      <c r="R120" s="2">
        <v>200</v>
      </c>
      <c r="S120" s="2">
        <v>200</v>
      </c>
      <c r="T120" s="2">
        <v>200</v>
      </c>
      <c r="U120" s="2">
        <v>200</v>
      </c>
      <c r="V120" s="2">
        <v>200</v>
      </c>
      <c r="W120" s="2">
        <v>200</v>
      </c>
      <c r="X120" s="2">
        <v>200</v>
      </c>
      <c r="Y120" s="2">
        <v>200</v>
      </c>
      <c r="Z120" s="2">
        <v>200</v>
      </c>
      <c r="AA120" s="2">
        <v>200</v>
      </c>
      <c r="AB120" s="2">
        <v>200</v>
      </c>
      <c r="AC120" s="2">
        <v>200</v>
      </c>
      <c r="AD120" s="2">
        <v>200</v>
      </c>
      <c r="AE120" s="2">
        <v>200</v>
      </c>
      <c r="AF120" s="2">
        <v>200</v>
      </c>
      <c r="AG120" s="2">
        <v>200</v>
      </c>
      <c r="AH120" s="2">
        <v>200</v>
      </c>
      <c r="AI120" s="2">
        <v>200</v>
      </c>
      <c r="AJ120" s="2">
        <v>200</v>
      </c>
      <c r="AK120" s="2">
        <v>200</v>
      </c>
      <c r="AL120" s="2">
        <v>200</v>
      </c>
      <c r="AM120" s="2">
        <v>200</v>
      </c>
      <c r="AN120" s="2">
        <v>200</v>
      </c>
      <c r="AO120" s="2">
        <v>200</v>
      </c>
      <c r="AP120" s="2">
        <v>200</v>
      </c>
      <c r="AQ120" s="2">
        <v>200</v>
      </c>
      <c r="AR120" s="2">
        <v>200</v>
      </c>
    </row>
    <row r="121" spans="1:68" ht="15.6" x14ac:dyDescent="0.3">
      <c r="A121" s="12" t="s">
        <v>159</v>
      </c>
      <c r="B121" s="2" t="s">
        <v>270</v>
      </c>
      <c r="C121" s="12" t="s">
        <v>167</v>
      </c>
      <c r="E121" s="2" t="s">
        <v>172</v>
      </c>
      <c r="G121" s="5"/>
      <c r="H121" s="17">
        <v>46069</v>
      </c>
      <c r="I121" s="18"/>
      <c r="K121" s="2">
        <v>12000</v>
      </c>
      <c r="L121" s="3">
        <f t="shared" si="11"/>
        <v>6400</v>
      </c>
      <c r="M121" s="20"/>
      <c r="O121" s="6" t="str">
        <f t="shared" si="12"/>
        <v>Open</v>
      </c>
      <c r="P121" s="3">
        <f t="shared" si="13"/>
        <v>32</v>
      </c>
      <c r="Q121" s="2">
        <v>200</v>
      </c>
      <c r="R121" s="2">
        <v>200</v>
      </c>
      <c r="S121" s="2">
        <v>200</v>
      </c>
      <c r="T121" s="2">
        <v>200</v>
      </c>
      <c r="U121" s="2">
        <v>200</v>
      </c>
      <c r="V121" s="2">
        <v>200</v>
      </c>
      <c r="W121" s="2">
        <v>200</v>
      </c>
      <c r="X121" s="2">
        <v>200</v>
      </c>
      <c r="Y121" s="2">
        <v>200</v>
      </c>
      <c r="Z121" s="2">
        <v>200</v>
      </c>
      <c r="AA121" s="2">
        <v>200</v>
      </c>
      <c r="AB121" s="2">
        <v>200</v>
      </c>
      <c r="AC121" s="2">
        <v>200</v>
      </c>
      <c r="AD121" s="2">
        <v>200</v>
      </c>
      <c r="AE121" s="2">
        <v>200</v>
      </c>
      <c r="AF121" s="2">
        <v>200</v>
      </c>
      <c r="AG121" s="2">
        <v>200</v>
      </c>
      <c r="AH121" s="2">
        <v>200</v>
      </c>
      <c r="AI121" s="2">
        <v>200</v>
      </c>
      <c r="AJ121" s="2">
        <v>200</v>
      </c>
      <c r="AK121" s="2">
        <v>200</v>
      </c>
      <c r="AL121" s="2">
        <v>200</v>
      </c>
      <c r="AM121" s="2">
        <v>200</v>
      </c>
      <c r="AN121" s="2">
        <v>200</v>
      </c>
      <c r="AO121" s="2">
        <v>200</v>
      </c>
      <c r="AP121" s="2">
        <v>200</v>
      </c>
      <c r="AQ121" s="2">
        <v>200</v>
      </c>
      <c r="AR121" s="2">
        <v>200</v>
      </c>
    </row>
    <row r="122" spans="1:68" ht="15.6" x14ac:dyDescent="0.3">
      <c r="A122" s="12" t="s">
        <v>159</v>
      </c>
      <c r="B122" s="2" t="s">
        <v>270</v>
      </c>
      <c r="C122" s="12" t="s">
        <v>167</v>
      </c>
      <c r="E122" s="2" t="s">
        <v>150</v>
      </c>
      <c r="G122" s="5"/>
      <c r="H122" s="17">
        <v>46069</v>
      </c>
      <c r="I122" s="18"/>
      <c r="K122" s="2">
        <v>12000</v>
      </c>
      <c r="L122" s="3">
        <f t="shared" si="11"/>
        <v>10000</v>
      </c>
      <c r="M122" s="20"/>
      <c r="O122" s="6" t="str">
        <f t="shared" si="12"/>
        <v>Open</v>
      </c>
      <c r="P122" s="3">
        <f t="shared" si="13"/>
        <v>50</v>
      </c>
      <c r="Q122" s="2">
        <v>200</v>
      </c>
      <c r="R122" s="2">
        <v>200</v>
      </c>
      <c r="S122" s="2">
        <v>200</v>
      </c>
      <c r="T122" s="2">
        <v>200</v>
      </c>
      <c r="U122" s="2">
        <v>200</v>
      </c>
      <c r="V122" s="2">
        <v>200</v>
      </c>
      <c r="W122" s="2">
        <v>200</v>
      </c>
      <c r="X122" s="2">
        <v>200</v>
      </c>
      <c r="Y122" s="2">
        <v>200</v>
      </c>
      <c r="Z122" s="2">
        <v>200</v>
      </c>
    </row>
    <row r="123" spans="1:68" ht="15.6" x14ac:dyDescent="0.3">
      <c r="A123" s="12" t="s">
        <v>159</v>
      </c>
      <c r="B123" s="2" t="s">
        <v>270</v>
      </c>
      <c r="C123" s="12" t="s">
        <v>167</v>
      </c>
      <c r="E123" s="2" t="s">
        <v>173</v>
      </c>
      <c r="G123" s="5"/>
      <c r="H123" s="17">
        <v>46069</v>
      </c>
      <c r="I123" s="18"/>
      <c r="K123" s="2">
        <v>12000</v>
      </c>
      <c r="L123" s="3">
        <f t="shared" si="11"/>
        <v>11200</v>
      </c>
      <c r="M123" s="20"/>
      <c r="O123" s="6" t="str">
        <f t="shared" si="12"/>
        <v>Open</v>
      </c>
      <c r="P123" s="3">
        <f t="shared" si="13"/>
        <v>56</v>
      </c>
      <c r="Q123" s="2">
        <v>200</v>
      </c>
      <c r="R123" s="2">
        <v>200</v>
      </c>
      <c r="S123" s="2">
        <v>200</v>
      </c>
      <c r="T123" s="2">
        <v>200</v>
      </c>
    </row>
    <row r="124" spans="1:68" ht="15.6" x14ac:dyDescent="0.3">
      <c r="A124" s="12" t="s">
        <v>159</v>
      </c>
      <c r="B124" s="2" t="s">
        <v>270</v>
      </c>
      <c r="C124" s="12" t="s">
        <v>167</v>
      </c>
      <c r="E124" s="2" t="s">
        <v>174</v>
      </c>
      <c r="G124" s="5"/>
      <c r="H124" s="17">
        <v>46069</v>
      </c>
      <c r="I124" s="18"/>
      <c r="K124" s="2">
        <v>12000</v>
      </c>
      <c r="L124" s="3">
        <f t="shared" si="11"/>
        <v>11600</v>
      </c>
      <c r="M124" s="20"/>
      <c r="O124" s="6" t="str">
        <f t="shared" si="12"/>
        <v>Open</v>
      </c>
      <c r="P124" s="3">
        <f t="shared" si="13"/>
        <v>58</v>
      </c>
      <c r="Q124" s="2">
        <v>200</v>
      </c>
      <c r="R124" s="2">
        <v>200</v>
      </c>
    </row>
    <row r="125" spans="1:68" ht="15.6" x14ac:dyDescent="0.3">
      <c r="A125" s="12" t="s">
        <v>159</v>
      </c>
      <c r="B125" s="2" t="s">
        <v>270</v>
      </c>
      <c r="C125" s="12" t="s">
        <v>167</v>
      </c>
      <c r="E125" s="2" t="s">
        <v>175</v>
      </c>
      <c r="G125" s="5"/>
      <c r="H125" s="17">
        <v>46069</v>
      </c>
      <c r="I125" s="18"/>
      <c r="K125" s="2">
        <v>12000</v>
      </c>
      <c r="L125" s="3">
        <f t="shared" si="11"/>
        <v>11600</v>
      </c>
      <c r="M125" s="20"/>
      <c r="O125" s="6" t="str">
        <f t="shared" si="12"/>
        <v>Open</v>
      </c>
      <c r="P125" s="3">
        <f t="shared" si="13"/>
        <v>58</v>
      </c>
      <c r="Q125" s="2">
        <v>200</v>
      </c>
      <c r="R125" s="2">
        <v>200</v>
      </c>
    </row>
    <row r="126" spans="1:68" ht="15.6" x14ac:dyDescent="0.3">
      <c r="A126" s="12" t="s">
        <v>159</v>
      </c>
      <c r="B126" s="2" t="s">
        <v>270</v>
      </c>
      <c r="C126" s="12" t="s">
        <v>167</v>
      </c>
      <c r="E126" s="2" t="s">
        <v>176</v>
      </c>
      <c r="G126" s="5"/>
      <c r="H126" s="17">
        <v>46069</v>
      </c>
      <c r="I126" s="18"/>
      <c r="K126" s="2">
        <v>12000</v>
      </c>
      <c r="L126" s="3">
        <f t="shared" si="11"/>
        <v>6800</v>
      </c>
      <c r="M126" s="20"/>
      <c r="O126" s="6" t="str">
        <f t="shared" si="12"/>
        <v>Open</v>
      </c>
      <c r="P126" s="3">
        <f t="shared" si="13"/>
        <v>34</v>
      </c>
      <c r="Q126" s="2">
        <v>200</v>
      </c>
      <c r="R126" s="2">
        <v>200</v>
      </c>
      <c r="S126" s="2">
        <v>200</v>
      </c>
      <c r="T126" s="2">
        <v>200</v>
      </c>
      <c r="U126" s="2">
        <v>200</v>
      </c>
      <c r="V126" s="2">
        <v>200</v>
      </c>
      <c r="W126" s="2">
        <v>200</v>
      </c>
      <c r="X126" s="2">
        <v>200</v>
      </c>
      <c r="Y126" s="2">
        <v>200</v>
      </c>
      <c r="Z126" s="2">
        <v>200</v>
      </c>
      <c r="AA126" s="2">
        <v>200</v>
      </c>
      <c r="AB126" s="2">
        <v>200</v>
      </c>
      <c r="AC126" s="2">
        <v>200</v>
      </c>
      <c r="AD126" s="2">
        <v>200</v>
      </c>
      <c r="AE126" s="2">
        <v>200</v>
      </c>
      <c r="AF126" s="2">
        <v>200</v>
      </c>
      <c r="AG126" s="2">
        <v>200</v>
      </c>
      <c r="AH126" s="2">
        <v>200</v>
      </c>
      <c r="AI126" s="2">
        <v>200</v>
      </c>
      <c r="AJ126" s="2">
        <v>200</v>
      </c>
      <c r="AK126" s="2">
        <v>200</v>
      </c>
      <c r="AL126" s="2">
        <v>200</v>
      </c>
      <c r="AM126" s="2">
        <v>200</v>
      </c>
      <c r="AN126" s="2">
        <v>200</v>
      </c>
      <c r="AO126" s="2">
        <v>200</v>
      </c>
      <c r="AP126" s="2">
        <v>200</v>
      </c>
    </row>
    <row r="127" spans="1:68" ht="15.6" x14ac:dyDescent="0.3">
      <c r="A127" s="12" t="s">
        <v>159</v>
      </c>
      <c r="B127" s="2" t="s">
        <v>270</v>
      </c>
      <c r="C127" s="12" t="s">
        <v>167</v>
      </c>
      <c r="E127" s="2" t="s">
        <v>177</v>
      </c>
      <c r="G127" s="5"/>
      <c r="H127" s="17">
        <v>46069</v>
      </c>
      <c r="I127" s="18"/>
      <c r="K127" s="2">
        <v>12000</v>
      </c>
      <c r="L127" s="3">
        <f t="shared" si="11"/>
        <v>6800</v>
      </c>
      <c r="M127" s="20"/>
      <c r="O127" s="6" t="str">
        <f t="shared" si="12"/>
        <v>Open</v>
      </c>
      <c r="P127" s="3">
        <f t="shared" si="13"/>
        <v>34</v>
      </c>
      <c r="Q127" s="2">
        <v>200</v>
      </c>
      <c r="R127" s="2">
        <v>200</v>
      </c>
      <c r="S127" s="2">
        <v>200</v>
      </c>
      <c r="T127" s="2">
        <v>200</v>
      </c>
      <c r="U127" s="2">
        <v>200</v>
      </c>
      <c r="V127" s="2">
        <v>200</v>
      </c>
      <c r="W127" s="2">
        <v>200</v>
      </c>
      <c r="X127" s="2">
        <v>200</v>
      </c>
      <c r="Y127" s="2">
        <v>200</v>
      </c>
      <c r="Z127" s="2">
        <v>200</v>
      </c>
      <c r="AA127" s="2">
        <v>200</v>
      </c>
      <c r="AB127" s="2">
        <v>200</v>
      </c>
      <c r="AC127" s="2">
        <v>200</v>
      </c>
      <c r="AD127" s="2">
        <v>200</v>
      </c>
      <c r="AE127" s="2">
        <v>200</v>
      </c>
      <c r="AF127" s="2">
        <v>200</v>
      </c>
      <c r="AG127" s="2">
        <v>200</v>
      </c>
      <c r="AH127" s="2">
        <v>200</v>
      </c>
      <c r="AI127" s="2">
        <v>200</v>
      </c>
      <c r="AJ127" s="2">
        <v>200</v>
      </c>
      <c r="AK127" s="2">
        <v>200</v>
      </c>
      <c r="AL127" s="2">
        <v>200</v>
      </c>
      <c r="AM127" s="2">
        <v>200</v>
      </c>
      <c r="AN127" s="2">
        <v>200</v>
      </c>
      <c r="AO127" s="2">
        <v>200</v>
      </c>
      <c r="AP127" s="2">
        <v>200</v>
      </c>
    </row>
    <row r="128" spans="1:68" ht="15.6" x14ac:dyDescent="0.3">
      <c r="A128" s="12" t="s">
        <v>159</v>
      </c>
      <c r="B128" s="2" t="s">
        <v>270</v>
      </c>
      <c r="C128" s="12" t="s">
        <v>167</v>
      </c>
      <c r="E128" s="2" t="s">
        <v>152</v>
      </c>
      <c r="G128" s="5"/>
      <c r="H128" s="17">
        <v>46069</v>
      </c>
      <c r="I128" s="18"/>
      <c r="K128" s="2">
        <v>6000</v>
      </c>
      <c r="L128" s="3">
        <f t="shared" si="11"/>
        <v>3500</v>
      </c>
      <c r="M128" s="20"/>
      <c r="O128" s="6" t="str">
        <f t="shared" si="12"/>
        <v>Open</v>
      </c>
      <c r="P128" s="3">
        <f t="shared" si="13"/>
        <v>35</v>
      </c>
      <c r="Q128" s="2">
        <v>100</v>
      </c>
      <c r="R128" s="2">
        <v>100</v>
      </c>
      <c r="S128" s="2">
        <v>100</v>
      </c>
      <c r="T128" s="2">
        <v>100</v>
      </c>
      <c r="U128" s="2">
        <v>100</v>
      </c>
      <c r="V128" s="2">
        <v>100</v>
      </c>
      <c r="W128" s="2">
        <v>100</v>
      </c>
      <c r="X128" s="2">
        <v>100</v>
      </c>
      <c r="Y128" s="2">
        <v>100</v>
      </c>
      <c r="Z128" s="2">
        <v>100</v>
      </c>
      <c r="AA128" s="2">
        <v>100</v>
      </c>
      <c r="AB128" s="2">
        <v>100</v>
      </c>
      <c r="AC128" s="2">
        <v>100</v>
      </c>
      <c r="AD128" s="2">
        <v>100</v>
      </c>
      <c r="AE128" s="2">
        <v>100</v>
      </c>
      <c r="AF128" s="2">
        <v>100</v>
      </c>
      <c r="AG128" s="2">
        <v>100</v>
      </c>
      <c r="AH128" s="2">
        <v>100</v>
      </c>
      <c r="AI128" s="2">
        <v>100</v>
      </c>
      <c r="AJ128" s="2">
        <v>100</v>
      </c>
      <c r="AK128" s="2">
        <v>100</v>
      </c>
      <c r="AL128" s="2">
        <v>100</v>
      </c>
      <c r="AM128" s="2">
        <v>100</v>
      </c>
      <c r="AN128" s="2">
        <v>100</v>
      </c>
      <c r="AO128" s="2">
        <v>100</v>
      </c>
    </row>
    <row r="129" spans="1:64" ht="15.6" x14ac:dyDescent="0.3">
      <c r="A129" s="12" t="s">
        <v>159</v>
      </c>
      <c r="B129" s="2" t="s">
        <v>270</v>
      </c>
      <c r="C129" s="12" t="s">
        <v>167</v>
      </c>
      <c r="E129" s="2" t="s">
        <v>178</v>
      </c>
      <c r="G129" s="5"/>
      <c r="H129" s="17">
        <v>46069</v>
      </c>
      <c r="I129" s="18"/>
      <c r="K129" s="2">
        <v>12000</v>
      </c>
      <c r="L129" s="3">
        <f t="shared" si="11"/>
        <v>7000</v>
      </c>
      <c r="M129" s="20"/>
      <c r="O129" s="6" t="str">
        <f t="shared" si="12"/>
        <v>Open</v>
      </c>
      <c r="P129" s="3">
        <f t="shared" si="13"/>
        <v>35</v>
      </c>
      <c r="Q129" s="2">
        <v>200</v>
      </c>
      <c r="R129" s="2">
        <v>200</v>
      </c>
      <c r="S129" s="2">
        <v>200</v>
      </c>
      <c r="T129" s="2">
        <v>200</v>
      </c>
      <c r="U129" s="2">
        <v>200</v>
      </c>
      <c r="V129" s="2">
        <v>200</v>
      </c>
      <c r="W129" s="2">
        <v>200</v>
      </c>
      <c r="X129" s="2">
        <v>200</v>
      </c>
      <c r="Y129" s="2">
        <v>200</v>
      </c>
      <c r="Z129" s="2">
        <v>200</v>
      </c>
      <c r="AA129" s="2">
        <v>200</v>
      </c>
      <c r="AB129" s="2">
        <v>200</v>
      </c>
      <c r="AC129" s="2">
        <v>200</v>
      </c>
      <c r="AD129" s="2">
        <v>200</v>
      </c>
      <c r="AE129" s="2">
        <v>200</v>
      </c>
      <c r="AF129" s="2">
        <v>200</v>
      </c>
      <c r="AG129" s="2">
        <v>200</v>
      </c>
      <c r="AH129" s="2">
        <v>200</v>
      </c>
      <c r="AI129" s="2">
        <v>200</v>
      </c>
      <c r="AJ129" s="2">
        <v>200</v>
      </c>
      <c r="AK129" s="2">
        <v>200</v>
      </c>
      <c r="AL129" s="2">
        <v>200</v>
      </c>
      <c r="AM129" s="2">
        <v>200</v>
      </c>
      <c r="AN129" s="2">
        <v>200</v>
      </c>
      <c r="AO129" s="2">
        <v>200</v>
      </c>
    </row>
    <row r="130" spans="1:64" ht="15.6" x14ac:dyDescent="0.3">
      <c r="A130" s="12" t="s">
        <v>159</v>
      </c>
      <c r="B130" s="2" t="s">
        <v>270</v>
      </c>
      <c r="C130" s="12" t="s">
        <v>167</v>
      </c>
      <c r="E130" s="2" t="s">
        <v>179</v>
      </c>
      <c r="G130" s="5"/>
      <c r="H130" s="17">
        <v>46069</v>
      </c>
      <c r="I130" s="18"/>
      <c r="K130" s="2">
        <v>12000</v>
      </c>
      <c r="L130" s="3">
        <f t="shared" ref="L130:L193" si="20">K130-SUM(Q130:BX130)</f>
        <v>4600</v>
      </c>
      <c r="M130" s="20"/>
      <c r="O130" s="6" t="str">
        <f t="shared" ref="O130:O193" si="21">IF(COUNTA(P130:BW130)=COLUMNS(P130:BW130),"Closed","Open")</f>
        <v>Open</v>
      </c>
      <c r="P130" s="3">
        <f t="shared" ref="P130:P193" si="22">60-COUNT(Q130:BX130)</f>
        <v>23</v>
      </c>
      <c r="Q130" s="2">
        <v>200</v>
      </c>
      <c r="R130" s="2">
        <v>200</v>
      </c>
      <c r="S130" s="2">
        <v>200</v>
      </c>
      <c r="T130" s="2">
        <v>200</v>
      </c>
      <c r="U130" s="2">
        <v>200</v>
      </c>
      <c r="V130" s="2">
        <v>200</v>
      </c>
      <c r="W130" s="2">
        <v>200</v>
      </c>
      <c r="X130" s="2">
        <v>200</v>
      </c>
      <c r="Y130" s="2">
        <v>200</v>
      </c>
      <c r="Z130" s="2">
        <v>200</v>
      </c>
      <c r="AA130" s="2">
        <v>200</v>
      </c>
      <c r="AB130" s="2">
        <v>200</v>
      </c>
      <c r="AC130" s="2">
        <v>200</v>
      </c>
      <c r="AD130" s="2">
        <v>200</v>
      </c>
      <c r="AE130" s="2">
        <v>200</v>
      </c>
      <c r="AF130" s="2">
        <v>200</v>
      </c>
      <c r="AG130" s="2">
        <v>200</v>
      </c>
      <c r="AH130" s="2">
        <v>200</v>
      </c>
      <c r="AI130" s="2">
        <v>200</v>
      </c>
      <c r="AJ130" s="2">
        <v>200</v>
      </c>
      <c r="AK130" s="2">
        <v>200</v>
      </c>
      <c r="AL130" s="2">
        <v>200</v>
      </c>
      <c r="AM130" s="2">
        <v>200</v>
      </c>
      <c r="AN130" s="2">
        <v>200</v>
      </c>
      <c r="AO130" s="2">
        <v>200</v>
      </c>
      <c r="AP130" s="2">
        <v>200</v>
      </c>
      <c r="AQ130" s="2">
        <v>200</v>
      </c>
      <c r="AR130" s="2">
        <v>200</v>
      </c>
      <c r="AS130" s="2">
        <v>200</v>
      </c>
      <c r="AT130" s="2">
        <v>200</v>
      </c>
      <c r="AU130" s="2">
        <v>200</v>
      </c>
      <c r="AV130" s="2">
        <v>200</v>
      </c>
      <c r="AW130" s="2">
        <v>200</v>
      </c>
      <c r="AX130" s="2">
        <v>200</v>
      </c>
      <c r="AY130" s="2">
        <v>200</v>
      </c>
      <c r="AZ130" s="2">
        <v>200</v>
      </c>
      <c r="BA130" s="2">
        <v>200</v>
      </c>
    </row>
    <row r="131" spans="1:64" ht="15.6" x14ac:dyDescent="0.3">
      <c r="A131" s="12" t="s">
        <v>159</v>
      </c>
      <c r="B131" s="2" t="s">
        <v>270</v>
      </c>
      <c r="C131" s="12" t="s">
        <v>167</v>
      </c>
      <c r="E131" s="2" t="s">
        <v>116</v>
      </c>
      <c r="G131" s="5"/>
      <c r="H131" s="17">
        <v>46069</v>
      </c>
      <c r="I131" s="18"/>
      <c r="K131" s="2">
        <v>12000</v>
      </c>
      <c r="L131" s="3">
        <f t="shared" si="20"/>
        <v>7800</v>
      </c>
      <c r="M131" s="20"/>
      <c r="O131" s="6" t="str">
        <f t="shared" si="21"/>
        <v>Open</v>
      </c>
      <c r="P131" s="3">
        <f t="shared" si="22"/>
        <v>39</v>
      </c>
      <c r="Q131" s="2">
        <v>200</v>
      </c>
      <c r="R131" s="2">
        <v>200</v>
      </c>
      <c r="S131" s="2">
        <v>200</v>
      </c>
      <c r="T131" s="2">
        <v>200</v>
      </c>
      <c r="U131" s="2">
        <v>200</v>
      </c>
      <c r="V131" s="2">
        <v>200</v>
      </c>
      <c r="W131" s="2">
        <v>200</v>
      </c>
      <c r="X131" s="2">
        <v>200</v>
      </c>
      <c r="Y131" s="2">
        <v>200</v>
      </c>
      <c r="Z131" s="2">
        <v>200</v>
      </c>
      <c r="AA131" s="2">
        <v>200</v>
      </c>
      <c r="AB131" s="2">
        <v>200</v>
      </c>
      <c r="AC131" s="2">
        <v>200</v>
      </c>
      <c r="AD131" s="2">
        <v>200</v>
      </c>
      <c r="AE131" s="2">
        <v>200</v>
      </c>
      <c r="AF131" s="2">
        <v>200</v>
      </c>
      <c r="AG131" s="2">
        <v>200</v>
      </c>
      <c r="AH131" s="2">
        <v>200</v>
      </c>
      <c r="AI131" s="2">
        <v>200</v>
      </c>
      <c r="AJ131" s="2">
        <v>200</v>
      </c>
      <c r="AK131" s="2">
        <v>200</v>
      </c>
    </row>
    <row r="132" spans="1:64" ht="15.6" x14ac:dyDescent="0.3">
      <c r="A132" s="12" t="s">
        <v>159</v>
      </c>
      <c r="B132" s="2" t="s">
        <v>270</v>
      </c>
      <c r="C132" s="12" t="s">
        <v>167</v>
      </c>
      <c r="E132" s="2" t="s">
        <v>134</v>
      </c>
      <c r="G132" s="5"/>
      <c r="H132" s="17">
        <v>46069</v>
      </c>
      <c r="I132" s="18"/>
      <c r="K132" s="2">
        <v>12000</v>
      </c>
      <c r="L132" s="3">
        <f t="shared" si="20"/>
        <v>8200</v>
      </c>
      <c r="M132" s="20"/>
      <c r="O132" s="6" t="str">
        <f t="shared" si="21"/>
        <v>Open</v>
      </c>
      <c r="P132" s="3">
        <f t="shared" si="22"/>
        <v>41</v>
      </c>
      <c r="Q132" s="2">
        <v>200</v>
      </c>
      <c r="R132" s="2">
        <v>200</v>
      </c>
      <c r="S132" s="2">
        <v>200</v>
      </c>
      <c r="T132" s="2">
        <v>200</v>
      </c>
      <c r="U132" s="2">
        <v>200</v>
      </c>
      <c r="V132" s="2">
        <v>200</v>
      </c>
      <c r="W132" s="2">
        <v>200</v>
      </c>
      <c r="X132" s="2">
        <v>200</v>
      </c>
      <c r="Y132" s="2">
        <v>200</v>
      </c>
      <c r="Z132" s="2">
        <v>200</v>
      </c>
      <c r="AA132" s="2">
        <v>200</v>
      </c>
      <c r="AB132" s="2">
        <v>200</v>
      </c>
      <c r="AC132" s="2">
        <v>200</v>
      </c>
      <c r="AD132" s="2">
        <v>200</v>
      </c>
      <c r="AE132" s="2">
        <v>200</v>
      </c>
      <c r="AF132" s="2">
        <v>200</v>
      </c>
      <c r="AG132" s="2">
        <v>200</v>
      </c>
      <c r="AH132" s="2">
        <v>200</v>
      </c>
      <c r="AI132" s="2">
        <v>200</v>
      </c>
    </row>
    <row r="133" spans="1:64" ht="15.6" x14ac:dyDescent="0.3">
      <c r="A133" s="12" t="s">
        <v>159</v>
      </c>
      <c r="B133" s="2" t="s">
        <v>270</v>
      </c>
      <c r="C133" s="12" t="s">
        <v>167</v>
      </c>
      <c r="E133" s="2" t="s">
        <v>180</v>
      </c>
      <c r="G133" s="5"/>
      <c r="H133" s="17">
        <v>46069</v>
      </c>
      <c r="I133" s="18"/>
      <c r="K133" s="2">
        <v>12000</v>
      </c>
      <c r="L133" s="3">
        <f t="shared" si="20"/>
        <v>8600</v>
      </c>
      <c r="M133" s="20"/>
      <c r="O133" s="6" t="str">
        <f t="shared" si="21"/>
        <v>Open</v>
      </c>
      <c r="P133" s="3">
        <f t="shared" si="22"/>
        <v>43</v>
      </c>
      <c r="Q133" s="2">
        <v>200</v>
      </c>
      <c r="R133" s="2">
        <v>200</v>
      </c>
      <c r="S133" s="2">
        <v>200</v>
      </c>
      <c r="T133" s="2">
        <v>200</v>
      </c>
      <c r="U133" s="2">
        <v>200</v>
      </c>
      <c r="V133" s="2">
        <v>200</v>
      </c>
      <c r="W133" s="2">
        <v>200</v>
      </c>
      <c r="X133" s="2">
        <v>200</v>
      </c>
      <c r="Y133" s="2">
        <v>200</v>
      </c>
      <c r="Z133" s="2">
        <v>200</v>
      </c>
      <c r="AA133" s="2">
        <v>200</v>
      </c>
      <c r="AB133" s="2">
        <v>200</v>
      </c>
      <c r="AC133" s="2">
        <v>200</v>
      </c>
      <c r="AD133" s="2">
        <v>200</v>
      </c>
      <c r="AE133" s="2">
        <v>200</v>
      </c>
      <c r="AF133" s="2">
        <v>200</v>
      </c>
      <c r="AG133" s="2">
        <v>200</v>
      </c>
    </row>
    <row r="134" spans="1:64" ht="15.6" x14ac:dyDescent="0.3">
      <c r="A134" s="12" t="s">
        <v>159</v>
      </c>
      <c r="B134" s="2" t="s">
        <v>270</v>
      </c>
      <c r="C134" s="12" t="s">
        <v>167</v>
      </c>
      <c r="E134" s="2" t="s">
        <v>181</v>
      </c>
      <c r="G134" s="5"/>
      <c r="H134" s="17">
        <v>46069</v>
      </c>
      <c r="I134" s="18"/>
      <c r="K134" s="2">
        <v>12000</v>
      </c>
      <c r="L134" s="3">
        <f t="shared" si="20"/>
        <v>8600</v>
      </c>
      <c r="M134" s="20"/>
      <c r="O134" s="6" t="str">
        <f t="shared" si="21"/>
        <v>Open</v>
      </c>
      <c r="P134" s="3">
        <f t="shared" si="22"/>
        <v>43</v>
      </c>
      <c r="Q134" s="2">
        <v>200</v>
      </c>
      <c r="R134" s="2">
        <v>200</v>
      </c>
      <c r="S134" s="2">
        <v>200</v>
      </c>
      <c r="T134" s="2">
        <v>200</v>
      </c>
      <c r="U134" s="2">
        <v>200</v>
      </c>
      <c r="V134" s="2">
        <v>200</v>
      </c>
      <c r="W134" s="2">
        <v>200</v>
      </c>
      <c r="X134" s="2">
        <v>200</v>
      </c>
      <c r="Y134" s="2">
        <v>200</v>
      </c>
      <c r="Z134" s="2">
        <v>200</v>
      </c>
      <c r="AA134" s="2">
        <v>200</v>
      </c>
      <c r="AB134" s="2">
        <v>200</v>
      </c>
      <c r="AC134" s="2">
        <v>200</v>
      </c>
      <c r="AD134" s="2">
        <v>200</v>
      </c>
      <c r="AE134" s="2">
        <v>200</v>
      </c>
      <c r="AF134" s="2">
        <v>200</v>
      </c>
      <c r="AG134" s="2">
        <v>200</v>
      </c>
    </row>
    <row r="135" spans="1:64" ht="15.6" x14ac:dyDescent="0.3">
      <c r="A135" s="12" t="s">
        <v>159</v>
      </c>
      <c r="B135" s="2" t="s">
        <v>270</v>
      </c>
      <c r="C135" s="12" t="s">
        <v>167</v>
      </c>
      <c r="E135" s="2" t="s">
        <v>182</v>
      </c>
      <c r="G135" s="5"/>
      <c r="H135" s="17">
        <v>46069</v>
      </c>
      <c r="I135" s="18"/>
      <c r="K135" s="2">
        <v>12000</v>
      </c>
      <c r="L135" s="3">
        <f t="shared" si="20"/>
        <v>8800</v>
      </c>
      <c r="M135" s="20"/>
      <c r="O135" s="6" t="str">
        <f t="shared" si="21"/>
        <v>Open</v>
      </c>
      <c r="P135" s="3">
        <f t="shared" si="22"/>
        <v>44</v>
      </c>
      <c r="Q135" s="2">
        <v>200</v>
      </c>
      <c r="R135" s="2">
        <v>200</v>
      </c>
      <c r="S135" s="2">
        <v>200</v>
      </c>
      <c r="T135" s="2">
        <v>200</v>
      </c>
      <c r="U135" s="2">
        <v>200</v>
      </c>
      <c r="V135" s="2">
        <v>200</v>
      </c>
      <c r="W135" s="2">
        <v>200</v>
      </c>
      <c r="X135" s="2">
        <v>200</v>
      </c>
      <c r="Y135" s="2">
        <v>200</v>
      </c>
      <c r="Z135" s="2">
        <v>200</v>
      </c>
      <c r="AA135" s="2">
        <v>200</v>
      </c>
      <c r="AB135" s="2">
        <v>200</v>
      </c>
      <c r="AC135" s="2">
        <v>200</v>
      </c>
      <c r="AD135" s="2">
        <v>200</v>
      </c>
      <c r="AE135" s="2">
        <v>200</v>
      </c>
      <c r="AF135" s="2">
        <v>200</v>
      </c>
    </row>
    <row r="136" spans="1:64" ht="15.6" x14ac:dyDescent="0.3">
      <c r="A136" s="12" t="s">
        <v>159</v>
      </c>
      <c r="B136" s="2" t="s">
        <v>270</v>
      </c>
      <c r="C136" s="12" t="s">
        <v>167</v>
      </c>
      <c r="E136" s="2" t="s">
        <v>183</v>
      </c>
      <c r="G136" s="5"/>
      <c r="H136" s="17">
        <v>46069</v>
      </c>
      <c r="I136" s="18"/>
      <c r="K136" s="2">
        <v>12000</v>
      </c>
      <c r="L136" s="3">
        <f t="shared" si="20"/>
        <v>9400</v>
      </c>
      <c r="M136" s="20"/>
      <c r="O136" s="6" t="str">
        <f t="shared" si="21"/>
        <v>Open</v>
      </c>
      <c r="P136" s="3">
        <f t="shared" si="22"/>
        <v>47</v>
      </c>
      <c r="Q136" s="2">
        <v>200</v>
      </c>
      <c r="R136" s="2">
        <v>200</v>
      </c>
      <c r="S136" s="2">
        <v>200</v>
      </c>
      <c r="T136" s="2">
        <v>200</v>
      </c>
      <c r="U136" s="2">
        <v>200</v>
      </c>
      <c r="V136" s="2">
        <v>200</v>
      </c>
      <c r="W136" s="2">
        <v>200</v>
      </c>
      <c r="X136" s="2">
        <v>200</v>
      </c>
      <c r="Y136" s="2">
        <v>200</v>
      </c>
      <c r="Z136" s="2">
        <v>200</v>
      </c>
      <c r="AA136" s="2">
        <v>200</v>
      </c>
      <c r="AB136" s="2">
        <v>200</v>
      </c>
      <c r="AC136" s="2">
        <v>200</v>
      </c>
    </row>
    <row r="137" spans="1:64" ht="15.6" x14ac:dyDescent="0.3">
      <c r="A137" s="12" t="s">
        <v>159</v>
      </c>
      <c r="B137" s="2" t="s">
        <v>270</v>
      </c>
      <c r="C137" s="12" t="s">
        <v>167</v>
      </c>
      <c r="E137" s="2" t="s">
        <v>184</v>
      </c>
      <c r="G137" s="5"/>
      <c r="H137" s="17">
        <v>46069</v>
      </c>
      <c r="I137" s="18"/>
      <c r="K137" s="2">
        <v>12000</v>
      </c>
      <c r="L137" s="3">
        <f t="shared" si="20"/>
        <v>9600</v>
      </c>
      <c r="M137" s="20"/>
      <c r="O137" s="6" t="str">
        <f t="shared" si="21"/>
        <v>Open</v>
      </c>
      <c r="P137" s="3">
        <f t="shared" si="22"/>
        <v>48</v>
      </c>
      <c r="Q137" s="2">
        <v>200</v>
      </c>
      <c r="R137" s="2">
        <v>200</v>
      </c>
      <c r="S137" s="2">
        <v>200</v>
      </c>
      <c r="T137" s="2">
        <v>200</v>
      </c>
      <c r="U137" s="2">
        <v>200</v>
      </c>
      <c r="V137" s="2">
        <v>200</v>
      </c>
      <c r="W137" s="2">
        <v>200</v>
      </c>
      <c r="X137" s="2">
        <v>200</v>
      </c>
      <c r="Y137" s="2">
        <v>200</v>
      </c>
      <c r="Z137" s="2">
        <v>200</v>
      </c>
      <c r="AA137" s="2">
        <v>200</v>
      </c>
      <c r="AB137" s="2">
        <v>200</v>
      </c>
    </row>
    <row r="138" spans="1:64" ht="15.6" x14ac:dyDescent="0.3">
      <c r="A138" s="12" t="s">
        <v>159</v>
      </c>
      <c r="B138" s="2" t="s">
        <v>270</v>
      </c>
      <c r="C138" s="12" t="s">
        <v>167</v>
      </c>
      <c r="E138" s="2" t="s">
        <v>81</v>
      </c>
      <c r="G138" s="5"/>
      <c r="H138" s="17">
        <v>46069</v>
      </c>
      <c r="I138" s="18"/>
      <c r="K138" s="2">
        <v>12000</v>
      </c>
      <c r="L138" s="3">
        <f t="shared" si="20"/>
        <v>10000</v>
      </c>
      <c r="M138" s="20"/>
      <c r="O138" s="6" t="str">
        <f t="shared" si="21"/>
        <v>Open</v>
      </c>
      <c r="P138" s="3">
        <f t="shared" si="22"/>
        <v>50</v>
      </c>
      <c r="Q138" s="2">
        <v>200</v>
      </c>
      <c r="R138" s="2">
        <v>200</v>
      </c>
      <c r="S138" s="2">
        <v>200</v>
      </c>
      <c r="T138" s="2">
        <v>200</v>
      </c>
      <c r="U138" s="2">
        <v>200</v>
      </c>
      <c r="V138" s="2">
        <v>200</v>
      </c>
      <c r="W138" s="2">
        <v>200</v>
      </c>
      <c r="X138" s="2">
        <v>200</v>
      </c>
      <c r="Y138" s="2">
        <v>200</v>
      </c>
      <c r="Z138" s="2">
        <v>200</v>
      </c>
    </row>
    <row r="139" spans="1:64" ht="15.6" x14ac:dyDescent="0.3">
      <c r="A139" s="12" t="s">
        <v>159</v>
      </c>
      <c r="B139" s="2" t="s">
        <v>270</v>
      </c>
      <c r="C139" s="12" t="s">
        <v>167</v>
      </c>
      <c r="E139" s="2" t="s">
        <v>185</v>
      </c>
      <c r="G139" s="5"/>
      <c r="H139" s="17">
        <v>46069</v>
      </c>
      <c r="I139" s="18"/>
      <c r="K139" s="2">
        <v>12000</v>
      </c>
      <c r="L139" s="3">
        <f t="shared" si="20"/>
        <v>11200</v>
      </c>
      <c r="M139" s="20"/>
      <c r="O139" s="6" t="str">
        <f t="shared" si="21"/>
        <v>Open</v>
      </c>
      <c r="P139" s="3">
        <f t="shared" si="22"/>
        <v>56</v>
      </c>
      <c r="Q139" s="2">
        <v>200</v>
      </c>
      <c r="R139" s="2">
        <v>200</v>
      </c>
      <c r="S139" s="2">
        <v>200</v>
      </c>
      <c r="T139" s="2">
        <v>200</v>
      </c>
    </row>
    <row r="140" spans="1:64" ht="15.6" x14ac:dyDescent="0.3">
      <c r="A140" s="12" t="s">
        <v>159</v>
      </c>
      <c r="B140" s="2" t="s">
        <v>270</v>
      </c>
      <c r="C140" s="2" t="s">
        <v>186</v>
      </c>
      <c r="E140" s="2" t="s">
        <v>192</v>
      </c>
      <c r="G140" s="5"/>
      <c r="H140" s="17">
        <v>46069</v>
      </c>
      <c r="I140" s="18"/>
      <c r="K140" s="2">
        <v>12000</v>
      </c>
      <c r="L140" s="3">
        <f t="shared" si="20"/>
        <v>2400</v>
      </c>
      <c r="M140" s="20"/>
      <c r="O140" s="6" t="str">
        <f t="shared" si="21"/>
        <v>Open</v>
      </c>
      <c r="P140" s="3">
        <f t="shared" si="22"/>
        <v>12</v>
      </c>
      <c r="Q140" s="2">
        <v>200</v>
      </c>
      <c r="R140" s="2">
        <v>200</v>
      </c>
      <c r="S140" s="2">
        <v>200</v>
      </c>
      <c r="T140" s="2">
        <v>200</v>
      </c>
      <c r="U140" s="2">
        <v>200</v>
      </c>
      <c r="V140" s="2">
        <v>200</v>
      </c>
      <c r="W140" s="2">
        <v>200</v>
      </c>
      <c r="X140" s="2">
        <v>200</v>
      </c>
      <c r="Y140" s="2">
        <v>200</v>
      </c>
      <c r="Z140" s="2">
        <v>200</v>
      </c>
      <c r="AA140" s="2">
        <v>200</v>
      </c>
      <c r="AB140" s="2">
        <v>200</v>
      </c>
      <c r="AC140" s="2">
        <v>200</v>
      </c>
      <c r="AD140" s="2">
        <v>200</v>
      </c>
      <c r="AE140" s="2">
        <v>200</v>
      </c>
      <c r="AF140" s="2">
        <v>200</v>
      </c>
      <c r="AG140" s="2">
        <v>200</v>
      </c>
      <c r="AH140" s="2">
        <v>200</v>
      </c>
      <c r="AI140" s="2">
        <v>200</v>
      </c>
      <c r="AJ140" s="2">
        <v>200</v>
      </c>
      <c r="AK140" s="2">
        <v>200</v>
      </c>
      <c r="AL140" s="2">
        <v>200</v>
      </c>
      <c r="AM140" s="2">
        <v>200</v>
      </c>
      <c r="AN140" s="2">
        <v>200</v>
      </c>
      <c r="AO140" s="2">
        <v>200</v>
      </c>
      <c r="AP140" s="2">
        <v>200</v>
      </c>
      <c r="AQ140" s="2">
        <v>200</v>
      </c>
      <c r="AR140" s="2">
        <v>200</v>
      </c>
      <c r="AS140" s="2">
        <v>200</v>
      </c>
      <c r="AT140" s="2">
        <v>200</v>
      </c>
      <c r="AU140" s="2">
        <v>200</v>
      </c>
      <c r="AV140" s="2">
        <v>200</v>
      </c>
      <c r="AW140" s="2">
        <v>200</v>
      </c>
      <c r="AX140" s="2">
        <v>200</v>
      </c>
      <c r="AY140" s="2">
        <v>200</v>
      </c>
      <c r="AZ140" s="2">
        <v>200</v>
      </c>
      <c r="BA140" s="2">
        <v>200</v>
      </c>
      <c r="BB140" s="2">
        <v>200</v>
      </c>
      <c r="BC140" s="2">
        <v>200</v>
      </c>
      <c r="BD140" s="2">
        <v>200</v>
      </c>
      <c r="BE140" s="2">
        <v>200</v>
      </c>
      <c r="BF140" s="2">
        <v>200</v>
      </c>
      <c r="BG140" s="2">
        <v>200</v>
      </c>
      <c r="BH140" s="2">
        <v>200</v>
      </c>
      <c r="BI140" s="2">
        <v>200</v>
      </c>
      <c r="BJ140" s="2">
        <v>200</v>
      </c>
      <c r="BK140" s="2">
        <v>200</v>
      </c>
      <c r="BL140" s="2">
        <v>200</v>
      </c>
    </row>
    <row r="141" spans="1:64" ht="15.6" x14ac:dyDescent="0.3">
      <c r="A141" s="12" t="s">
        <v>159</v>
      </c>
      <c r="B141" s="2" t="s">
        <v>270</v>
      </c>
      <c r="C141" s="2" t="s">
        <v>186</v>
      </c>
      <c r="E141" s="2" t="s">
        <v>187</v>
      </c>
      <c r="G141" s="5"/>
      <c r="H141" s="17">
        <v>46069</v>
      </c>
      <c r="I141" s="18"/>
      <c r="K141" s="2">
        <v>18000</v>
      </c>
      <c r="L141" s="3">
        <f t="shared" si="20"/>
        <v>4500</v>
      </c>
      <c r="M141" s="20"/>
      <c r="O141" s="6" t="str">
        <f t="shared" si="21"/>
        <v>Open</v>
      </c>
      <c r="P141" s="3">
        <f t="shared" si="22"/>
        <v>15</v>
      </c>
      <c r="Q141" s="2">
        <v>300</v>
      </c>
      <c r="R141" s="2">
        <v>300</v>
      </c>
      <c r="S141" s="2">
        <v>300</v>
      </c>
      <c r="T141" s="2">
        <v>300</v>
      </c>
      <c r="U141" s="2">
        <v>300</v>
      </c>
      <c r="V141" s="2">
        <v>300</v>
      </c>
      <c r="W141" s="2">
        <v>300</v>
      </c>
      <c r="X141" s="2">
        <v>300</v>
      </c>
      <c r="Y141" s="2">
        <v>300</v>
      </c>
      <c r="Z141" s="2">
        <v>300</v>
      </c>
      <c r="AA141" s="2">
        <v>300</v>
      </c>
      <c r="AB141" s="2">
        <v>300</v>
      </c>
      <c r="AC141" s="2">
        <v>300</v>
      </c>
      <c r="AD141" s="2">
        <v>300</v>
      </c>
      <c r="AE141" s="2">
        <v>300</v>
      </c>
      <c r="AF141" s="2">
        <v>300</v>
      </c>
      <c r="AG141" s="2">
        <v>300</v>
      </c>
      <c r="AH141" s="2">
        <v>300</v>
      </c>
      <c r="AI141" s="2">
        <v>300</v>
      </c>
      <c r="AJ141" s="2">
        <v>300</v>
      </c>
      <c r="AK141" s="2">
        <v>300</v>
      </c>
      <c r="AL141" s="2">
        <v>300</v>
      </c>
      <c r="AM141" s="2">
        <v>300</v>
      </c>
      <c r="AN141" s="2">
        <v>300</v>
      </c>
      <c r="AO141" s="2">
        <v>300</v>
      </c>
      <c r="AP141" s="2">
        <v>300</v>
      </c>
      <c r="AQ141" s="2">
        <v>300</v>
      </c>
      <c r="AR141" s="2">
        <v>300</v>
      </c>
      <c r="AS141" s="2">
        <v>300</v>
      </c>
      <c r="AT141" s="2">
        <v>300</v>
      </c>
      <c r="AU141" s="2">
        <v>300</v>
      </c>
      <c r="AV141" s="2">
        <v>300</v>
      </c>
      <c r="AW141" s="2">
        <v>300</v>
      </c>
      <c r="AX141" s="2">
        <v>300</v>
      </c>
      <c r="AY141" s="2">
        <v>300</v>
      </c>
      <c r="AZ141" s="2">
        <v>300</v>
      </c>
      <c r="BA141" s="2">
        <v>300</v>
      </c>
      <c r="BB141" s="2">
        <v>300</v>
      </c>
      <c r="BC141" s="2">
        <v>300</v>
      </c>
      <c r="BD141" s="2">
        <v>300</v>
      </c>
      <c r="BE141" s="2">
        <v>300</v>
      </c>
      <c r="BF141" s="2">
        <v>300</v>
      </c>
      <c r="BG141" s="2">
        <v>300</v>
      </c>
      <c r="BH141" s="2">
        <v>300</v>
      </c>
      <c r="BI141" s="2">
        <v>300</v>
      </c>
    </row>
    <row r="142" spans="1:64" ht="15.6" x14ac:dyDescent="0.3">
      <c r="A142" s="12" t="s">
        <v>159</v>
      </c>
      <c r="B142" s="2" t="s">
        <v>270</v>
      </c>
      <c r="C142" s="2" t="s">
        <v>186</v>
      </c>
      <c r="E142" s="2" t="s">
        <v>188</v>
      </c>
      <c r="G142" s="5"/>
      <c r="H142" s="17">
        <v>46069</v>
      </c>
      <c r="I142" s="18"/>
      <c r="K142" s="2">
        <v>12000</v>
      </c>
      <c r="L142" s="3">
        <f t="shared" si="20"/>
        <v>7400</v>
      </c>
      <c r="M142" s="20"/>
      <c r="O142" s="6" t="str">
        <f t="shared" si="21"/>
        <v>Open</v>
      </c>
      <c r="P142" s="3">
        <f t="shared" si="22"/>
        <v>37</v>
      </c>
      <c r="Q142" s="2">
        <v>200</v>
      </c>
      <c r="R142" s="2">
        <v>200</v>
      </c>
      <c r="S142" s="2">
        <v>200</v>
      </c>
      <c r="T142" s="2">
        <v>200</v>
      </c>
      <c r="U142" s="2">
        <v>200</v>
      </c>
      <c r="V142" s="2">
        <v>200</v>
      </c>
      <c r="W142" s="2">
        <v>200</v>
      </c>
      <c r="X142" s="2">
        <v>200</v>
      </c>
      <c r="Y142" s="2">
        <v>200</v>
      </c>
      <c r="Z142" s="2">
        <v>200</v>
      </c>
      <c r="AA142" s="2">
        <v>200</v>
      </c>
      <c r="AB142" s="2">
        <v>200</v>
      </c>
      <c r="AC142" s="2">
        <v>200</v>
      </c>
      <c r="AD142" s="2">
        <v>200</v>
      </c>
      <c r="AE142" s="2">
        <v>200</v>
      </c>
      <c r="AF142" s="2">
        <v>200</v>
      </c>
      <c r="AG142" s="2">
        <v>200</v>
      </c>
      <c r="AH142" s="2">
        <v>200</v>
      </c>
      <c r="AI142" s="2">
        <v>200</v>
      </c>
      <c r="AJ142" s="2">
        <v>200</v>
      </c>
      <c r="AK142" s="2">
        <v>200</v>
      </c>
      <c r="AL142" s="2">
        <v>200</v>
      </c>
      <c r="AM142" s="2">
        <v>200</v>
      </c>
    </row>
    <row r="143" spans="1:64" ht="15.6" x14ac:dyDescent="0.3">
      <c r="A143" s="12" t="s">
        <v>159</v>
      </c>
      <c r="B143" s="2" t="s">
        <v>270</v>
      </c>
      <c r="C143" s="2" t="s">
        <v>186</v>
      </c>
      <c r="E143" s="2" t="s">
        <v>189</v>
      </c>
      <c r="G143" s="5"/>
      <c r="H143" s="17">
        <v>46069</v>
      </c>
      <c r="I143" s="18"/>
      <c r="K143" s="2">
        <v>12000</v>
      </c>
      <c r="L143" s="3">
        <f t="shared" si="20"/>
        <v>7000</v>
      </c>
      <c r="M143" s="20"/>
      <c r="O143" s="6" t="str">
        <f t="shared" si="21"/>
        <v>Open</v>
      </c>
      <c r="P143" s="3">
        <f t="shared" si="22"/>
        <v>35</v>
      </c>
      <c r="Q143" s="2">
        <v>200</v>
      </c>
      <c r="R143" s="2">
        <v>200</v>
      </c>
      <c r="S143" s="2">
        <v>200</v>
      </c>
      <c r="T143" s="2">
        <v>200</v>
      </c>
      <c r="U143" s="2">
        <v>200</v>
      </c>
      <c r="V143" s="2">
        <v>200</v>
      </c>
      <c r="W143" s="2">
        <v>200</v>
      </c>
      <c r="X143" s="2">
        <v>200</v>
      </c>
      <c r="Y143" s="2">
        <v>200</v>
      </c>
      <c r="Z143" s="2">
        <v>200</v>
      </c>
      <c r="AA143" s="2">
        <v>200</v>
      </c>
      <c r="AB143" s="2">
        <v>200</v>
      </c>
      <c r="AC143" s="2">
        <v>200</v>
      </c>
      <c r="AD143" s="2">
        <v>200</v>
      </c>
      <c r="AE143" s="2">
        <v>200</v>
      </c>
      <c r="AF143" s="2">
        <v>200</v>
      </c>
      <c r="AG143" s="2">
        <v>200</v>
      </c>
      <c r="AH143" s="2">
        <v>200</v>
      </c>
      <c r="AI143" s="2">
        <v>200</v>
      </c>
      <c r="AJ143" s="2">
        <v>200</v>
      </c>
      <c r="AK143" s="2">
        <v>200</v>
      </c>
      <c r="AL143" s="2">
        <v>200</v>
      </c>
      <c r="AM143" s="2">
        <v>200</v>
      </c>
      <c r="AN143" s="2">
        <v>200</v>
      </c>
      <c r="AO143" s="2">
        <v>200</v>
      </c>
    </row>
    <row r="144" spans="1:64" ht="15.6" x14ac:dyDescent="0.3">
      <c r="A144" s="12" t="s">
        <v>159</v>
      </c>
      <c r="B144" s="2" t="s">
        <v>270</v>
      </c>
      <c r="C144" s="2" t="s">
        <v>186</v>
      </c>
      <c r="E144" s="2" t="s">
        <v>95</v>
      </c>
      <c r="G144" s="5"/>
      <c r="H144" s="17">
        <v>46069</v>
      </c>
      <c r="I144" s="18"/>
      <c r="K144" s="2">
        <v>36000</v>
      </c>
      <c r="L144" s="3">
        <f t="shared" si="20"/>
        <v>27600</v>
      </c>
      <c r="M144" s="20"/>
      <c r="O144" s="6" t="str">
        <f t="shared" si="21"/>
        <v>Open</v>
      </c>
      <c r="P144" s="3">
        <f t="shared" si="22"/>
        <v>46</v>
      </c>
      <c r="Q144" s="2">
        <v>600</v>
      </c>
      <c r="R144" s="2">
        <v>600</v>
      </c>
      <c r="S144" s="2">
        <v>600</v>
      </c>
      <c r="T144" s="2">
        <v>600</v>
      </c>
      <c r="U144" s="2">
        <v>600</v>
      </c>
      <c r="V144" s="2">
        <v>600</v>
      </c>
      <c r="W144" s="2">
        <v>600</v>
      </c>
      <c r="X144" s="2">
        <v>600</v>
      </c>
      <c r="Y144" s="2">
        <v>600</v>
      </c>
      <c r="Z144" s="2">
        <v>600</v>
      </c>
      <c r="AA144" s="2">
        <v>600</v>
      </c>
      <c r="AB144" s="2">
        <v>600</v>
      </c>
      <c r="AC144" s="2">
        <v>600</v>
      </c>
      <c r="AD144" s="2">
        <v>600</v>
      </c>
    </row>
    <row r="145" spans="1:34" ht="15.6" x14ac:dyDescent="0.3">
      <c r="A145" s="12" t="s">
        <v>159</v>
      </c>
      <c r="B145" s="2" t="s">
        <v>270</v>
      </c>
      <c r="C145" s="2" t="s">
        <v>186</v>
      </c>
      <c r="E145" s="2" t="s">
        <v>190</v>
      </c>
      <c r="G145" s="5"/>
      <c r="H145" s="17">
        <v>46069</v>
      </c>
      <c r="I145" s="18"/>
      <c r="K145" s="2">
        <v>12000</v>
      </c>
      <c r="L145" s="3">
        <f t="shared" si="20"/>
        <v>8600</v>
      </c>
      <c r="M145" s="20"/>
      <c r="O145" s="6" t="str">
        <f t="shared" si="21"/>
        <v>Open</v>
      </c>
      <c r="P145" s="3">
        <f t="shared" si="22"/>
        <v>43</v>
      </c>
      <c r="Q145" s="2">
        <v>200</v>
      </c>
      <c r="R145" s="2">
        <v>200</v>
      </c>
      <c r="S145" s="2">
        <v>200</v>
      </c>
      <c r="T145" s="2">
        <v>200</v>
      </c>
      <c r="U145" s="2">
        <v>200</v>
      </c>
      <c r="V145" s="2">
        <v>200</v>
      </c>
      <c r="W145" s="2">
        <v>200</v>
      </c>
      <c r="X145" s="2">
        <v>200</v>
      </c>
      <c r="Y145" s="2">
        <v>200</v>
      </c>
      <c r="Z145" s="2">
        <v>200</v>
      </c>
      <c r="AA145" s="2">
        <v>200</v>
      </c>
      <c r="AB145" s="2">
        <v>200</v>
      </c>
      <c r="AC145" s="2">
        <v>200</v>
      </c>
      <c r="AD145" s="2">
        <v>200</v>
      </c>
      <c r="AE145" s="2">
        <v>200</v>
      </c>
      <c r="AF145" s="2">
        <v>200</v>
      </c>
      <c r="AG145" s="2">
        <v>200</v>
      </c>
    </row>
    <row r="146" spans="1:34" ht="15.6" x14ac:dyDescent="0.3">
      <c r="A146" s="12" t="s">
        <v>159</v>
      </c>
      <c r="B146" s="2" t="s">
        <v>270</v>
      </c>
      <c r="C146" s="2" t="s">
        <v>186</v>
      </c>
      <c r="E146" s="2" t="s">
        <v>75</v>
      </c>
      <c r="G146" s="5"/>
      <c r="H146" s="17">
        <v>46069</v>
      </c>
      <c r="I146" s="18"/>
      <c r="K146" s="2">
        <v>12000</v>
      </c>
      <c r="L146" s="3">
        <f t="shared" si="20"/>
        <v>9000</v>
      </c>
      <c r="M146" s="20"/>
      <c r="O146" s="6" t="str">
        <f t="shared" si="21"/>
        <v>Open</v>
      </c>
      <c r="P146" s="3">
        <f t="shared" si="22"/>
        <v>45</v>
      </c>
      <c r="Q146" s="2">
        <v>200</v>
      </c>
      <c r="R146" s="2">
        <v>200</v>
      </c>
      <c r="S146" s="2">
        <v>200</v>
      </c>
      <c r="T146" s="2">
        <v>200</v>
      </c>
      <c r="U146" s="2">
        <v>200</v>
      </c>
      <c r="V146" s="2">
        <v>200</v>
      </c>
      <c r="W146" s="2">
        <v>200</v>
      </c>
      <c r="X146" s="2">
        <v>200</v>
      </c>
      <c r="Y146" s="2">
        <v>200</v>
      </c>
      <c r="Z146" s="2">
        <v>200</v>
      </c>
      <c r="AA146" s="2">
        <v>200</v>
      </c>
      <c r="AB146" s="2">
        <v>200</v>
      </c>
      <c r="AC146" s="2">
        <v>200</v>
      </c>
      <c r="AD146" s="2">
        <v>200</v>
      </c>
      <c r="AE146" s="2">
        <v>200</v>
      </c>
    </row>
    <row r="147" spans="1:34" ht="15.6" x14ac:dyDescent="0.3">
      <c r="A147" s="12" t="s">
        <v>159</v>
      </c>
      <c r="B147" s="2" t="s">
        <v>270</v>
      </c>
      <c r="C147" s="2" t="s">
        <v>186</v>
      </c>
      <c r="E147" s="2" t="s">
        <v>178</v>
      </c>
      <c r="G147" s="5"/>
      <c r="H147" s="17">
        <v>46069</v>
      </c>
      <c r="I147" s="18"/>
      <c r="K147" s="2">
        <v>18000</v>
      </c>
      <c r="L147" s="3">
        <f t="shared" si="20"/>
        <v>15000</v>
      </c>
      <c r="M147" s="20"/>
      <c r="O147" s="6" t="str">
        <f t="shared" si="21"/>
        <v>Open</v>
      </c>
      <c r="P147" s="3">
        <f t="shared" si="22"/>
        <v>50</v>
      </c>
      <c r="Q147" s="2">
        <v>300</v>
      </c>
      <c r="R147" s="2">
        <v>300</v>
      </c>
      <c r="S147" s="2">
        <v>300</v>
      </c>
      <c r="T147" s="2">
        <v>300</v>
      </c>
      <c r="U147" s="2">
        <v>300</v>
      </c>
      <c r="V147" s="2">
        <v>300</v>
      </c>
      <c r="W147" s="2">
        <v>300</v>
      </c>
      <c r="X147" s="2">
        <v>300</v>
      </c>
      <c r="Y147" s="2">
        <v>300</v>
      </c>
      <c r="Z147" s="2">
        <v>300</v>
      </c>
    </row>
    <row r="148" spans="1:34" ht="15.6" x14ac:dyDescent="0.3">
      <c r="A148" s="12" t="s">
        <v>159</v>
      </c>
      <c r="B148" s="2" t="s">
        <v>270</v>
      </c>
      <c r="C148" s="2" t="s">
        <v>186</v>
      </c>
      <c r="E148" s="2" t="s">
        <v>191</v>
      </c>
      <c r="G148" s="5"/>
      <c r="H148" s="17">
        <v>46069</v>
      </c>
      <c r="I148" s="18"/>
      <c r="K148" s="2">
        <v>12000</v>
      </c>
      <c r="L148" s="3">
        <f t="shared" si="20"/>
        <v>11000</v>
      </c>
      <c r="M148" s="20"/>
      <c r="O148" s="6" t="str">
        <f t="shared" si="21"/>
        <v>Open</v>
      </c>
      <c r="P148" s="3">
        <f t="shared" si="22"/>
        <v>55</v>
      </c>
      <c r="Q148" s="2">
        <v>200</v>
      </c>
      <c r="R148" s="2">
        <v>200</v>
      </c>
      <c r="S148" s="2">
        <v>200</v>
      </c>
      <c r="T148" s="2">
        <v>200</v>
      </c>
      <c r="U148" s="2">
        <v>200</v>
      </c>
    </row>
    <row r="149" spans="1:34" ht="15.6" x14ac:dyDescent="0.3">
      <c r="A149" s="12" t="s">
        <v>159</v>
      </c>
      <c r="B149" s="2" t="s">
        <v>270</v>
      </c>
      <c r="C149" s="2" t="s">
        <v>193</v>
      </c>
      <c r="E149" s="2" t="s">
        <v>194</v>
      </c>
      <c r="G149" s="5"/>
      <c r="H149" s="17">
        <v>46069</v>
      </c>
      <c r="I149" s="18"/>
      <c r="K149" s="2">
        <v>12000</v>
      </c>
      <c r="L149" s="3">
        <f t="shared" si="20"/>
        <v>8400</v>
      </c>
      <c r="M149" s="20"/>
      <c r="O149" s="6" t="str">
        <f t="shared" si="21"/>
        <v>Open</v>
      </c>
      <c r="P149" s="3">
        <f t="shared" si="22"/>
        <v>42</v>
      </c>
      <c r="Q149" s="2">
        <v>200</v>
      </c>
      <c r="R149" s="2">
        <v>200</v>
      </c>
      <c r="S149" s="2">
        <v>200</v>
      </c>
      <c r="T149" s="2">
        <v>200</v>
      </c>
      <c r="U149" s="2">
        <v>200</v>
      </c>
      <c r="V149" s="2">
        <v>200</v>
      </c>
      <c r="W149" s="2">
        <v>200</v>
      </c>
      <c r="X149" s="2">
        <v>200</v>
      </c>
      <c r="Y149" s="2">
        <v>200</v>
      </c>
      <c r="Z149" s="2">
        <v>200</v>
      </c>
      <c r="AA149" s="2">
        <v>200</v>
      </c>
      <c r="AB149" s="2">
        <v>200</v>
      </c>
      <c r="AC149" s="2">
        <v>200</v>
      </c>
      <c r="AD149" s="2">
        <v>200</v>
      </c>
      <c r="AE149" s="2">
        <v>200</v>
      </c>
      <c r="AF149" s="2">
        <v>200</v>
      </c>
      <c r="AG149" s="2">
        <v>200</v>
      </c>
      <c r="AH149" s="2">
        <v>200</v>
      </c>
    </row>
    <row r="150" spans="1:34" ht="15.6" x14ac:dyDescent="0.3">
      <c r="A150" s="12" t="s">
        <v>159</v>
      </c>
      <c r="B150" s="2" t="s">
        <v>270</v>
      </c>
      <c r="C150" s="2" t="s">
        <v>193</v>
      </c>
      <c r="E150" s="2" t="s">
        <v>195</v>
      </c>
      <c r="G150" s="5"/>
      <c r="H150" s="17">
        <v>46069</v>
      </c>
      <c r="I150" s="18"/>
      <c r="K150" s="2">
        <v>18000</v>
      </c>
      <c r="L150" s="3">
        <f t="shared" si="20"/>
        <v>12600</v>
      </c>
      <c r="M150" s="20"/>
      <c r="O150" s="6" t="str">
        <f t="shared" si="21"/>
        <v>Open</v>
      </c>
      <c r="P150" s="3">
        <f t="shared" si="22"/>
        <v>42</v>
      </c>
      <c r="Q150" s="2">
        <v>300</v>
      </c>
      <c r="R150" s="2">
        <v>300</v>
      </c>
      <c r="S150" s="2">
        <v>300</v>
      </c>
      <c r="T150" s="2">
        <v>300</v>
      </c>
      <c r="U150" s="2">
        <v>300</v>
      </c>
      <c r="V150" s="2">
        <v>300</v>
      </c>
      <c r="W150" s="2">
        <v>300</v>
      </c>
      <c r="X150" s="2">
        <v>300</v>
      </c>
      <c r="Y150" s="2">
        <v>300</v>
      </c>
      <c r="Z150" s="2">
        <v>300</v>
      </c>
      <c r="AA150" s="2">
        <v>300</v>
      </c>
      <c r="AB150" s="2">
        <v>300</v>
      </c>
      <c r="AC150" s="2">
        <v>300</v>
      </c>
      <c r="AD150" s="2">
        <v>300</v>
      </c>
      <c r="AE150" s="2">
        <v>300</v>
      </c>
      <c r="AF150" s="2">
        <v>300</v>
      </c>
      <c r="AG150" s="2">
        <v>300</v>
      </c>
      <c r="AH150" s="2">
        <v>300</v>
      </c>
    </row>
    <row r="151" spans="1:34" ht="15.6" x14ac:dyDescent="0.3">
      <c r="A151" s="12" t="s">
        <v>159</v>
      </c>
      <c r="B151" s="2" t="s">
        <v>270</v>
      </c>
      <c r="C151" s="2" t="s">
        <v>193</v>
      </c>
      <c r="E151" s="2" t="s">
        <v>196</v>
      </c>
      <c r="G151" s="5"/>
      <c r="H151" s="17">
        <v>46069</v>
      </c>
      <c r="I151" s="18"/>
      <c r="K151" s="2">
        <v>12000</v>
      </c>
      <c r="L151" s="3">
        <f t="shared" si="20"/>
        <v>8800</v>
      </c>
      <c r="M151" s="20"/>
      <c r="O151" s="6" t="str">
        <f t="shared" si="21"/>
        <v>Open</v>
      </c>
      <c r="P151" s="3">
        <f t="shared" si="22"/>
        <v>44</v>
      </c>
      <c r="Q151" s="2">
        <v>200</v>
      </c>
      <c r="R151" s="2">
        <v>200</v>
      </c>
      <c r="S151" s="2">
        <v>200</v>
      </c>
      <c r="T151" s="2">
        <v>200</v>
      </c>
      <c r="U151" s="2">
        <v>200</v>
      </c>
      <c r="V151" s="2">
        <v>200</v>
      </c>
      <c r="W151" s="2">
        <v>200</v>
      </c>
      <c r="X151" s="2">
        <v>200</v>
      </c>
      <c r="Y151" s="2">
        <v>200</v>
      </c>
      <c r="Z151" s="2">
        <v>200</v>
      </c>
      <c r="AA151" s="2">
        <v>200</v>
      </c>
      <c r="AB151" s="2">
        <v>200</v>
      </c>
      <c r="AC151" s="2">
        <v>200</v>
      </c>
      <c r="AD151" s="2">
        <v>200</v>
      </c>
      <c r="AE151" s="2">
        <v>200</v>
      </c>
      <c r="AF151" s="2">
        <v>200</v>
      </c>
    </row>
    <row r="152" spans="1:34" ht="15.6" x14ac:dyDescent="0.3">
      <c r="A152" s="12" t="s">
        <v>159</v>
      </c>
      <c r="B152" s="2" t="s">
        <v>270</v>
      </c>
      <c r="C152" s="2" t="s">
        <v>193</v>
      </c>
      <c r="E152" s="2" t="s">
        <v>197</v>
      </c>
      <c r="G152" s="5"/>
      <c r="H152" s="17">
        <v>46069</v>
      </c>
      <c r="I152" s="18"/>
      <c r="K152" s="2">
        <v>18000</v>
      </c>
      <c r="L152" s="3">
        <f t="shared" si="20"/>
        <v>12600</v>
      </c>
      <c r="M152" s="20"/>
      <c r="O152" s="6" t="str">
        <f t="shared" si="21"/>
        <v>Open</v>
      </c>
      <c r="P152" s="3">
        <f t="shared" si="22"/>
        <v>42</v>
      </c>
      <c r="Q152" s="2">
        <v>300</v>
      </c>
      <c r="R152" s="2">
        <v>300</v>
      </c>
      <c r="S152" s="2">
        <v>300</v>
      </c>
      <c r="T152" s="2">
        <v>300</v>
      </c>
      <c r="U152" s="2">
        <v>300</v>
      </c>
      <c r="V152" s="2">
        <v>300</v>
      </c>
      <c r="W152" s="2">
        <v>300</v>
      </c>
      <c r="X152" s="2">
        <v>300</v>
      </c>
      <c r="Y152" s="2">
        <v>300</v>
      </c>
      <c r="Z152" s="2">
        <v>300</v>
      </c>
      <c r="AA152" s="2">
        <v>300</v>
      </c>
      <c r="AB152" s="2">
        <v>300</v>
      </c>
      <c r="AC152" s="2">
        <v>300</v>
      </c>
      <c r="AD152" s="2">
        <v>300</v>
      </c>
      <c r="AE152" s="2">
        <v>300</v>
      </c>
      <c r="AF152" s="2">
        <v>300</v>
      </c>
      <c r="AG152" s="2">
        <v>300</v>
      </c>
      <c r="AH152" s="2">
        <v>300</v>
      </c>
    </row>
    <row r="153" spans="1:34" ht="15.6" x14ac:dyDescent="0.3">
      <c r="A153" s="12" t="s">
        <v>159</v>
      </c>
      <c r="B153" s="2" t="s">
        <v>270</v>
      </c>
      <c r="C153" s="2" t="s">
        <v>193</v>
      </c>
      <c r="E153" s="2" t="s">
        <v>198</v>
      </c>
      <c r="G153" s="5"/>
      <c r="H153" s="17">
        <v>46069</v>
      </c>
      <c r="I153" s="18"/>
      <c r="K153" s="2">
        <v>12000</v>
      </c>
      <c r="L153" s="3">
        <f t="shared" si="20"/>
        <v>8600</v>
      </c>
      <c r="M153" s="20"/>
      <c r="O153" s="6" t="str">
        <f t="shared" si="21"/>
        <v>Open</v>
      </c>
      <c r="P153" s="3">
        <f t="shared" si="22"/>
        <v>43</v>
      </c>
      <c r="Q153" s="2">
        <v>200</v>
      </c>
      <c r="R153" s="2">
        <v>200</v>
      </c>
      <c r="S153" s="2">
        <v>200</v>
      </c>
      <c r="T153" s="2">
        <v>200</v>
      </c>
      <c r="U153" s="2">
        <v>200</v>
      </c>
      <c r="V153" s="2">
        <v>200</v>
      </c>
      <c r="W153" s="2">
        <v>200</v>
      </c>
      <c r="X153" s="2">
        <v>200</v>
      </c>
      <c r="Y153" s="2">
        <v>200</v>
      </c>
      <c r="Z153" s="2">
        <v>200</v>
      </c>
      <c r="AA153" s="2">
        <v>200</v>
      </c>
      <c r="AB153" s="2">
        <v>200</v>
      </c>
      <c r="AC153" s="2">
        <v>200</v>
      </c>
      <c r="AD153" s="2">
        <v>200</v>
      </c>
      <c r="AE153" s="2">
        <v>200</v>
      </c>
      <c r="AF153" s="2">
        <v>200</v>
      </c>
      <c r="AG153" s="2">
        <v>200</v>
      </c>
    </row>
    <row r="154" spans="1:34" ht="15.6" x14ac:dyDescent="0.3">
      <c r="A154" s="12" t="s">
        <v>159</v>
      </c>
      <c r="B154" s="2" t="s">
        <v>270</v>
      </c>
      <c r="C154" s="2" t="s">
        <v>193</v>
      </c>
      <c r="E154" s="2" t="s">
        <v>199</v>
      </c>
      <c r="G154" s="5"/>
      <c r="H154" s="17">
        <v>46069</v>
      </c>
      <c r="I154" s="18"/>
      <c r="K154" s="2">
        <v>18000</v>
      </c>
      <c r="L154" s="3">
        <f t="shared" si="20"/>
        <v>13500</v>
      </c>
      <c r="M154" s="20"/>
      <c r="O154" s="6" t="str">
        <f t="shared" si="21"/>
        <v>Open</v>
      </c>
      <c r="P154" s="3">
        <f t="shared" si="22"/>
        <v>45</v>
      </c>
      <c r="Q154" s="2">
        <v>300</v>
      </c>
      <c r="R154" s="2">
        <v>300</v>
      </c>
      <c r="S154" s="2">
        <v>300</v>
      </c>
      <c r="T154" s="2">
        <v>300</v>
      </c>
      <c r="U154" s="2">
        <v>300</v>
      </c>
      <c r="V154" s="2">
        <v>300</v>
      </c>
      <c r="W154" s="2">
        <v>300</v>
      </c>
      <c r="X154" s="2">
        <v>300</v>
      </c>
      <c r="Y154" s="2">
        <v>300</v>
      </c>
      <c r="Z154" s="2">
        <v>300</v>
      </c>
      <c r="AA154" s="2">
        <v>300</v>
      </c>
      <c r="AB154" s="2">
        <v>300</v>
      </c>
      <c r="AC154" s="2">
        <v>300</v>
      </c>
      <c r="AD154" s="2">
        <v>300</v>
      </c>
      <c r="AE154" s="2">
        <v>300</v>
      </c>
    </row>
    <row r="155" spans="1:34" ht="15.6" x14ac:dyDescent="0.3">
      <c r="A155" s="12" t="s">
        <v>159</v>
      </c>
      <c r="B155" s="2" t="s">
        <v>270</v>
      </c>
      <c r="C155" s="2" t="s">
        <v>193</v>
      </c>
      <c r="E155" s="2" t="s">
        <v>102</v>
      </c>
      <c r="G155" s="5"/>
      <c r="H155" s="17">
        <v>46069</v>
      </c>
      <c r="I155" s="18"/>
      <c r="K155" s="2">
        <v>12000</v>
      </c>
      <c r="L155" s="3">
        <f t="shared" si="20"/>
        <v>9200</v>
      </c>
      <c r="M155" s="20"/>
      <c r="O155" s="6" t="str">
        <f t="shared" si="21"/>
        <v>Open</v>
      </c>
      <c r="P155" s="3">
        <f t="shared" si="22"/>
        <v>46</v>
      </c>
      <c r="Q155" s="2">
        <v>200</v>
      </c>
      <c r="R155" s="2">
        <v>200</v>
      </c>
      <c r="S155" s="2">
        <v>200</v>
      </c>
      <c r="T155" s="2">
        <v>200</v>
      </c>
      <c r="U155" s="2">
        <v>200</v>
      </c>
      <c r="V155" s="2">
        <v>200</v>
      </c>
      <c r="W155" s="2">
        <v>200</v>
      </c>
      <c r="X155" s="2">
        <v>200</v>
      </c>
      <c r="Y155" s="2">
        <v>200</v>
      </c>
      <c r="Z155" s="2">
        <v>200</v>
      </c>
      <c r="AA155" s="2">
        <v>200</v>
      </c>
      <c r="AB155" s="2">
        <v>200</v>
      </c>
      <c r="AC155" s="2">
        <v>200</v>
      </c>
      <c r="AD155" s="2">
        <v>200</v>
      </c>
    </row>
    <row r="156" spans="1:34" ht="15.6" x14ac:dyDescent="0.3">
      <c r="A156" s="12" t="s">
        <v>159</v>
      </c>
      <c r="B156" s="2" t="s">
        <v>270</v>
      </c>
      <c r="C156" s="2" t="s">
        <v>193</v>
      </c>
      <c r="E156" s="2" t="s">
        <v>200</v>
      </c>
      <c r="G156" s="5"/>
      <c r="H156" s="17">
        <v>46069</v>
      </c>
      <c r="I156" s="18"/>
      <c r="K156" s="2">
        <v>12000</v>
      </c>
      <c r="L156" s="3">
        <f t="shared" si="20"/>
        <v>10000</v>
      </c>
      <c r="M156" s="20"/>
      <c r="O156" s="6" t="str">
        <f t="shared" si="21"/>
        <v>Open</v>
      </c>
      <c r="P156" s="3">
        <f t="shared" si="22"/>
        <v>50</v>
      </c>
      <c r="Q156" s="2">
        <v>200</v>
      </c>
      <c r="R156" s="2">
        <v>200</v>
      </c>
      <c r="S156" s="2">
        <v>200</v>
      </c>
      <c r="T156" s="2">
        <v>200</v>
      </c>
      <c r="U156" s="2">
        <v>200</v>
      </c>
      <c r="V156" s="2">
        <v>200</v>
      </c>
      <c r="W156" s="2">
        <v>200</v>
      </c>
      <c r="X156" s="2">
        <v>200</v>
      </c>
      <c r="Y156" s="2">
        <v>200</v>
      </c>
      <c r="Z156" s="2">
        <v>200</v>
      </c>
    </row>
    <row r="157" spans="1:34" ht="15.6" x14ac:dyDescent="0.3">
      <c r="A157" s="12" t="s">
        <v>159</v>
      </c>
      <c r="B157" s="2" t="s">
        <v>270</v>
      </c>
      <c r="C157" s="2" t="s">
        <v>193</v>
      </c>
      <c r="E157" s="2" t="s">
        <v>134</v>
      </c>
      <c r="G157" s="5"/>
      <c r="H157" s="17">
        <v>46069</v>
      </c>
      <c r="I157" s="18"/>
      <c r="K157" s="2">
        <v>18000</v>
      </c>
      <c r="L157" s="3">
        <f t="shared" si="20"/>
        <v>15300</v>
      </c>
      <c r="M157" s="20"/>
      <c r="O157" s="6" t="str">
        <f t="shared" si="21"/>
        <v>Open</v>
      </c>
      <c r="P157" s="3">
        <f t="shared" si="22"/>
        <v>51</v>
      </c>
      <c r="Q157" s="2">
        <v>300</v>
      </c>
      <c r="R157" s="2">
        <v>300</v>
      </c>
      <c r="S157" s="2">
        <v>300</v>
      </c>
      <c r="T157" s="2">
        <v>300</v>
      </c>
      <c r="U157" s="2">
        <v>300</v>
      </c>
      <c r="V157" s="2">
        <v>300</v>
      </c>
      <c r="W157" s="2">
        <v>300</v>
      </c>
      <c r="X157" s="2">
        <v>300</v>
      </c>
      <c r="Y157" s="2">
        <v>300</v>
      </c>
    </row>
    <row r="158" spans="1:34" ht="15.6" x14ac:dyDescent="0.3">
      <c r="A158" s="12" t="s">
        <v>159</v>
      </c>
      <c r="B158" s="2" t="s">
        <v>270</v>
      </c>
      <c r="C158" s="2" t="s">
        <v>193</v>
      </c>
      <c r="E158" s="2" t="s">
        <v>176</v>
      </c>
      <c r="G158" s="5"/>
      <c r="H158" s="17">
        <v>46069</v>
      </c>
      <c r="I158" s="18"/>
      <c r="K158" s="2">
        <v>6000</v>
      </c>
      <c r="L158" s="3">
        <f t="shared" si="20"/>
        <v>5900</v>
      </c>
      <c r="M158" s="20"/>
      <c r="O158" s="6" t="str">
        <f t="shared" si="21"/>
        <v>Open</v>
      </c>
      <c r="P158" s="3">
        <f t="shared" si="22"/>
        <v>59</v>
      </c>
      <c r="Q158" s="2">
        <v>100</v>
      </c>
    </row>
    <row r="159" spans="1:34" ht="15.6" x14ac:dyDescent="0.3">
      <c r="A159" s="12" t="s">
        <v>159</v>
      </c>
      <c r="B159" s="2" t="s">
        <v>270</v>
      </c>
      <c r="C159" s="2" t="s">
        <v>193</v>
      </c>
      <c r="E159" s="2" t="s">
        <v>136</v>
      </c>
      <c r="G159" s="5"/>
      <c r="H159" s="17">
        <v>46069</v>
      </c>
      <c r="I159" s="18"/>
      <c r="K159" s="2">
        <v>18000</v>
      </c>
      <c r="L159" s="3">
        <f t="shared" si="20"/>
        <v>17700</v>
      </c>
      <c r="M159" s="20"/>
      <c r="O159" s="6" t="str">
        <f t="shared" si="21"/>
        <v>Open</v>
      </c>
      <c r="P159" s="3">
        <f t="shared" si="22"/>
        <v>59</v>
      </c>
      <c r="Q159" s="2">
        <v>300</v>
      </c>
    </row>
    <row r="160" spans="1:34" ht="15.6" x14ac:dyDescent="0.3">
      <c r="A160" s="12" t="s">
        <v>159</v>
      </c>
      <c r="B160" s="2" t="s">
        <v>270</v>
      </c>
      <c r="C160" s="2" t="s">
        <v>201</v>
      </c>
      <c r="E160" s="2" t="s">
        <v>202</v>
      </c>
      <c r="G160" s="5"/>
      <c r="H160" s="17">
        <v>46069</v>
      </c>
      <c r="I160" s="18"/>
      <c r="K160" s="2">
        <v>18000</v>
      </c>
      <c r="L160" s="3">
        <f t="shared" si="20"/>
        <v>15000</v>
      </c>
      <c r="M160" s="20"/>
      <c r="O160" s="6" t="str">
        <f t="shared" si="21"/>
        <v>Open</v>
      </c>
      <c r="P160" s="3">
        <f t="shared" si="22"/>
        <v>50</v>
      </c>
      <c r="Q160" s="2">
        <v>300</v>
      </c>
      <c r="R160" s="2">
        <v>300</v>
      </c>
      <c r="S160" s="2">
        <v>300</v>
      </c>
      <c r="T160" s="2">
        <v>300</v>
      </c>
      <c r="U160" s="2">
        <v>300</v>
      </c>
      <c r="V160" s="2">
        <v>300</v>
      </c>
      <c r="W160" s="2">
        <v>300</v>
      </c>
      <c r="X160" s="2">
        <v>300</v>
      </c>
      <c r="Y160" s="2">
        <v>300</v>
      </c>
      <c r="Z160" s="2">
        <v>300</v>
      </c>
    </row>
    <row r="161" spans="1:70" ht="15.6" x14ac:dyDescent="0.3">
      <c r="A161" s="12" t="s">
        <v>159</v>
      </c>
      <c r="B161" s="2" t="s">
        <v>270</v>
      </c>
      <c r="C161" s="2" t="s">
        <v>201</v>
      </c>
      <c r="E161" s="2" t="s">
        <v>203</v>
      </c>
      <c r="G161" s="5"/>
      <c r="H161" s="17">
        <v>46069</v>
      </c>
      <c r="I161" s="18"/>
      <c r="K161" s="2">
        <v>12000</v>
      </c>
      <c r="L161" s="3">
        <f t="shared" si="20"/>
        <v>10000</v>
      </c>
      <c r="M161" s="20"/>
      <c r="O161" s="6" t="str">
        <f t="shared" si="21"/>
        <v>Open</v>
      </c>
      <c r="P161" s="3">
        <f t="shared" si="22"/>
        <v>50</v>
      </c>
      <c r="Q161" s="2">
        <v>200</v>
      </c>
      <c r="R161" s="2">
        <v>200</v>
      </c>
      <c r="S161" s="2">
        <v>200</v>
      </c>
      <c r="T161" s="2">
        <v>200</v>
      </c>
      <c r="U161" s="2">
        <v>200</v>
      </c>
      <c r="V161" s="2">
        <v>200</v>
      </c>
      <c r="W161" s="2">
        <v>200</v>
      </c>
      <c r="X161" s="2">
        <v>200</v>
      </c>
      <c r="Y161" s="2">
        <v>200</v>
      </c>
      <c r="Z161" s="2">
        <v>200</v>
      </c>
    </row>
    <row r="162" spans="1:70" ht="15.6" x14ac:dyDescent="0.3">
      <c r="A162" s="12" t="s">
        <v>159</v>
      </c>
      <c r="B162" s="2" t="s">
        <v>270</v>
      </c>
      <c r="C162" s="2" t="s">
        <v>201</v>
      </c>
      <c r="E162" s="2" t="s">
        <v>204</v>
      </c>
      <c r="G162" s="5"/>
      <c r="H162" s="17">
        <v>46069</v>
      </c>
      <c r="I162" s="18"/>
      <c r="K162" s="2">
        <v>12000</v>
      </c>
      <c r="L162" s="3">
        <f t="shared" si="20"/>
        <v>10000</v>
      </c>
      <c r="M162" s="20"/>
      <c r="O162" s="6" t="str">
        <f t="shared" si="21"/>
        <v>Open</v>
      </c>
      <c r="P162" s="3">
        <f t="shared" si="22"/>
        <v>50</v>
      </c>
      <c r="Q162" s="2">
        <v>200</v>
      </c>
      <c r="R162" s="2">
        <v>200</v>
      </c>
      <c r="S162" s="2">
        <v>200</v>
      </c>
      <c r="T162" s="2">
        <v>200</v>
      </c>
      <c r="U162" s="2">
        <v>200</v>
      </c>
      <c r="V162" s="2">
        <v>200</v>
      </c>
      <c r="W162" s="2">
        <v>200</v>
      </c>
      <c r="X162" s="2">
        <v>200</v>
      </c>
      <c r="Y162" s="2">
        <v>200</v>
      </c>
      <c r="Z162" s="2">
        <v>200</v>
      </c>
    </row>
    <row r="163" spans="1:70" ht="15.6" x14ac:dyDescent="0.3">
      <c r="A163" s="12" t="s">
        <v>159</v>
      </c>
      <c r="B163" s="2" t="s">
        <v>270</v>
      </c>
      <c r="C163" s="2" t="s">
        <v>201</v>
      </c>
      <c r="E163" s="2" t="s">
        <v>205</v>
      </c>
      <c r="G163" s="5"/>
      <c r="H163" s="17">
        <v>46069</v>
      </c>
      <c r="I163" s="18"/>
      <c r="K163" s="2">
        <v>12000</v>
      </c>
      <c r="L163" s="3">
        <f t="shared" si="20"/>
        <v>10000</v>
      </c>
      <c r="M163" s="20"/>
      <c r="O163" s="6" t="str">
        <f t="shared" si="21"/>
        <v>Open</v>
      </c>
      <c r="P163" s="3">
        <f t="shared" si="22"/>
        <v>50</v>
      </c>
      <c r="Q163" s="2">
        <v>200</v>
      </c>
      <c r="R163" s="2">
        <v>200</v>
      </c>
      <c r="S163" s="2">
        <v>200</v>
      </c>
      <c r="T163" s="2">
        <v>200</v>
      </c>
      <c r="U163" s="2">
        <v>200</v>
      </c>
      <c r="V163" s="2">
        <v>200</v>
      </c>
      <c r="W163" s="2">
        <v>200</v>
      </c>
      <c r="X163" s="2">
        <v>200</v>
      </c>
      <c r="Y163" s="2">
        <v>200</v>
      </c>
      <c r="Z163" s="2">
        <v>200</v>
      </c>
    </row>
    <row r="164" spans="1:70" ht="15.6" x14ac:dyDescent="0.3">
      <c r="A164" s="12" t="s">
        <v>159</v>
      </c>
      <c r="B164" s="2" t="s">
        <v>270</v>
      </c>
      <c r="C164" s="2" t="s">
        <v>201</v>
      </c>
      <c r="E164" s="2" t="s">
        <v>206</v>
      </c>
      <c r="G164" s="5"/>
      <c r="H164" s="17">
        <v>46069</v>
      </c>
      <c r="I164" s="18"/>
      <c r="K164" s="2">
        <v>18000</v>
      </c>
      <c r="L164" s="3">
        <f t="shared" si="20"/>
        <v>15300</v>
      </c>
      <c r="M164" s="20"/>
      <c r="O164" s="6" t="str">
        <f t="shared" si="21"/>
        <v>Open</v>
      </c>
      <c r="P164" s="3">
        <f t="shared" si="22"/>
        <v>51</v>
      </c>
      <c r="Q164" s="2">
        <v>300</v>
      </c>
      <c r="R164" s="2">
        <v>300</v>
      </c>
      <c r="S164" s="2">
        <v>300</v>
      </c>
      <c r="T164" s="2">
        <v>300</v>
      </c>
      <c r="U164" s="2">
        <v>300</v>
      </c>
      <c r="V164" s="2">
        <v>300</v>
      </c>
      <c r="W164" s="2">
        <v>300</v>
      </c>
      <c r="X164" s="2">
        <v>300</v>
      </c>
      <c r="Y164" s="2">
        <v>300</v>
      </c>
    </row>
    <row r="165" spans="1:70" ht="15.6" x14ac:dyDescent="0.3">
      <c r="A165" s="12" t="s">
        <v>159</v>
      </c>
      <c r="B165" s="2" t="s">
        <v>270</v>
      </c>
      <c r="C165" s="2" t="s">
        <v>201</v>
      </c>
      <c r="E165" s="2" t="s">
        <v>178</v>
      </c>
      <c r="G165" s="5"/>
      <c r="H165" s="17">
        <v>46069</v>
      </c>
      <c r="I165" s="18"/>
      <c r="K165" s="2">
        <v>24000</v>
      </c>
      <c r="L165" s="3">
        <f t="shared" si="20"/>
        <v>21200</v>
      </c>
      <c r="M165" s="20"/>
      <c r="O165" s="6" t="str">
        <f t="shared" si="21"/>
        <v>Open</v>
      </c>
      <c r="P165" s="3">
        <f t="shared" si="22"/>
        <v>53</v>
      </c>
      <c r="Q165" s="2">
        <v>400</v>
      </c>
      <c r="R165" s="2">
        <v>400</v>
      </c>
      <c r="S165" s="2">
        <v>400</v>
      </c>
      <c r="T165" s="2">
        <v>400</v>
      </c>
      <c r="U165" s="2">
        <v>400</v>
      </c>
      <c r="V165" s="2">
        <v>400</v>
      </c>
      <c r="W165" s="2">
        <v>400</v>
      </c>
    </row>
    <row r="166" spans="1:70" ht="15.6" x14ac:dyDescent="0.3">
      <c r="A166" s="12" t="s">
        <v>159</v>
      </c>
      <c r="B166" s="2" t="s">
        <v>270</v>
      </c>
      <c r="C166" s="2" t="s">
        <v>201</v>
      </c>
      <c r="E166" s="2" t="s">
        <v>136</v>
      </c>
      <c r="G166" s="5"/>
      <c r="H166" s="17">
        <v>46069</v>
      </c>
      <c r="I166" s="18"/>
      <c r="K166" s="2">
        <v>18000</v>
      </c>
      <c r="L166" s="3">
        <f t="shared" si="20"/>
        <v>17100</v>
      </c>
      <c r="M166" s="20"/>
      <c r="O166" s="6" t="str">
        <f t="shared" si="21"/>
        <v>Open</v>
      </c>
      <c r="P166" s="3">
        <f t="shared" si="22"/>
        <v>57</v>
      </c>
      <c r="Q166" s="2">
        <v>300</v>
      </c>
      <c r="R166" s="2">
        <v>300</v>
      </c>
      <c r="S166" s="2">
        <v>300</v>
      </c>
    </row>
    <row r="167" spans="1:70" ht="15.6" x14ac:dyDescent="0.3">
      <c r="A167" s="12" t="s">
        <v>159</v>
      </c>
      <c r="B167" s="2" t="s">
        <v>270</v>
      </c>
      <c r="C167" s="2" t="s">
        <v>201</v>
      </c>
      <c r="E167" s="2" t="s">
        <v>96</v>
      </c>
      <c r="G167" s="5"/>
      <c r="H167" s="17">
        <v>46069</v>
      </c>
      <c r="I167" s="18"/>
      <c r="K167" s="2">
        <v>18000</v>
      </c>
      <c r="L167" s="3">
        <f t="shared" si="20"/>
        <v>17700</v>
      </c>
      <c r="M167" s="20"/>
      <c r="O167" s="6" t="str">
        <f t="shared" si="21"/>
        <v>Open</v>
      </c>
      <c r="P167" s="3">
        <f t="shared" si="22"/>
        <v>59</v>
      </c>
      <c r="Q167" s="2">
        <v>300</v>
      </c>
    </row>
    <row r="168" spans="1:70" ht="15.6" x14ac:dyDescent="0.3">
      <c r="A168" s="12" t="s">
        <v>159</v>
      </c>
      <c r="B168" s="2" t="s">
        <v>270</v>
      </c>
      <c r="C168" s="2" t="s">
        <v>201</v>
      </c>
      <c r="E168" s="2" t="s">
        <v>130</v>
      </c>
      <c r="G168" s="5"/>
      <c r="H168" s="17">
        <v>46069</v>
      </c>
      <c r="I168" s="18"/>
      <c r="K168" s="2">
        <v>12000</v>
      </c>
      <c r="L168" s="3">
        <f t="shared" si="20"/>
        <v>11600</v>
      </c>
      <c r="M168" s="20"/>
      <c r="O168" s="6" t="str">
        <f t="shared" si="21"/>
        <v>Open</v>
      </c>
      <c r="P168" s="3">
        <f t="shared" si="22"/>
        <v>58</v>
      </c>
      <c r="Q168" s="2">
        <v>200</v>
      </c>
      <c r="R168" s="2">
        <v>200</v>
      </c>
    </row>
    <row r="169" spans="1:70" ht="15.6" x14ac:dyDescent="0.3">
      <c r="A169" s="12" t="s">
        <v>159</v>
      </c>
      <c r="B169" s="2" t="s">
        <v>270</v>
      </c>
      <c r="C169" s="2" t="s">
        <v>207</v>
      </c>
      <c r="D169" s="2">
        <v>2</v>
      </c>
      <c r="E169" s="2" t="s">
        <v>168</v>
      </c>
      <c r="G169" s="5"/>
      <c r="H169" s="17">
        <v>46069</v>
      </c>
      <c r="I169" s="18"/>
      <c r="K169" s="2">
        <v>6000</v>
      </c>
      <c r="L169" s="3">
        <f t="shared" si="20"/>
        <v>600</v>
      </c>
      <c r="M169" s="20"/>
      <c r="O169" s="6" t="str">
        <f t="shared" si="21"/>
        <v>Open</v>
      </c>
      <c r="P169" s="3">
        <f t="shared" si="22"/>
        <v>6</v>
      </c>
      <c r="Q169" s="2">
        <v>100</v>
      </c>
      <c r="R169" s="2">
        <v>100</v>
      </c>
      <c r="S169" s="2">
        <v>100</v>
      </c>
      <c r="T169" s="2">
        <v>100</v>
      </c>
      <c r="U169" s="2">
        <v>100</v>
      </c>
      <c r="V169" s="2">
        <v>100</v>
      </c>
      <c r="W169" s="2">
        <v>100</v>
      </c>
      <c r="X169" s="2">
        <v>100</v>
      </c>
      <c r="Y169" s="2">
        <v>100</v>
      </c>
      <c r="Z169" s="2">
        <v>100</v>
      </c>
      <c r="AA169" s="2">
        <v>100</v>
      </c>
      <c r="AB169" s="2">
        <v>100</v>
      </c>
      <c r="AC169" s="2">
        <v>100</v>
      </c>
      <c r="AD169" s="2">
        <v>100</v>
      </c>
      <c r="AE169" s="2">
        <v>100</v>
      </c>
      <c r="AF169" s="2">
        <v>100</v>
      </c>
      <c r="AG169" s="2">
        <v>100</v>
      </c>
      <c r="AH169" s="2">
        <v>100</v>
      </c>
      <c r="AI169" s="2">
        <v>100</v>
      </c>
      <c r="AJ169" s="2">
        <v>100</v>
      </c>
      <c r="AK169" s="2">
        <v>100</v>
      </c>
      <c r="AL169" s="2">
        <v>100</v>
      </c>
      <c r="AM169" s="2">
        <v>100</v>
      </c>
      <c r="AN169" s="2">
        <v>100</v>
      </c>
      <c r="AO169" s="2">
        <v>100</v>
      </c>
      <c r="AP169" s="2">
        <v>100</v>
      </c>
      <c r="AQ169" s="2">
        <v>100</v>
      </c>
      <c r="AR169" s="2">
        <v>100</v>
      </c>
      <c r="AS169" s="2">
        <v>100</v>
      </c>
      <c r="AT169" s="2">
        <v>100</v>
      </c>
      <c r="AU169" s="2">
        <v>100</v>
      </c>
      <c r="AV169" s="2">
        <v>100</v>
      </c>
      <c r="AW169" s="2">
        <v>100</v>
      </c>
      <c r="AX169" s="2">
        <v>100</v>
      </c>
      <c r="AY169" s="2">
        <v>100</v>
      </c>
      <c r="AZ169" s="2">
        <v>100</v>
      </c>
      <c r="BA169" s="2">
        <v>100</v>
      </c>
      <c r="BB169" s="2">
        <v>100</v>
      </c>
      <c r="BC169" s="2">
        <v>100</v>
      </c>
      <c r="BD169" s="2">
        <v>100</v>
      </c>
      <c r="BE169" s="2">
        <v>100</v>
      </c>
      <c r="BF169" s="2">
        <v>100</v>
      </c>
      <c r="BG169" s="2">
        <v>100</v>
      </c>
      <c r="BH169" s="2">
        <v>100</v>
      </c>
      <c r="BI169" s="2">
        <v>100</v>
      </c>
      <c r="BJ169" s="2">
        <v>100</v>
      </c>
      <c r="BK169" s="2">
        <v>100</v>
      </c>
      <c r="BL169" s="2">
        <v>100</v>
      </c>
      <c r="BM169" s="2">
        <v>100</v>
      </c>
      <c r="BN169" s="2">
        <v>100</v>
      </c>
      <c r="BO169" s="2">
        <v>100</v>
      </c>
      <c r="BP169" s="2">
        <v>100</v>
      </c>
      <c r="BQ169" s="2">
        <v>100</v>
      </c>
      <c r="BR169" s="2">
        <v>100</v>
      </c>
    </row>
    <row r="170" spans="1:70" ht="15.6" x14ac:dyDescent="0.3">
      <c r="A170" s="12" t="s">
        <v>159</v>
      </c>
      <c r="B170" s="2" t="s">
        <v>270</v>
      </c>
      <c r="C170" s="2" t="s">
        <v>207</v>
      </c>
      <c r="E170" s="2" t="s">
        <v>142</v>
      </c>
      <c r="G170" s="5"/>
      <c r="H170" s="17">
        <v>46069</v>
      </c>
      <c r="I170" s="18"/>
      <c r="K170" s="2">
        <v>12000</v>
      </c>
      <c r="L170" s="3">
        <f t="shared" si="20"/>
        <v>2800</v>
      </c>
      <c r="M170" s="20"/>
      <c r="O170" s="6" t="str">
        <f t="shared" si="21"/>
        <v>Open</v>
      </c>
      <c r="P170" s="3">
        <f t="shared" si="22"/>
        <v>14</v>
      </c>
      <c r="Q170" s="2">
        <v>200</v>
      </c>
      <c r="R170" s="2">
        <v>200</v>
      </c>
      <c r="S170" s="2">
        <v>200</v>
      </c>
      <c r="T170" s="2">
        <v>200</v>
      </c>
      <c r="U170" s="2">
        <v>200</v>
      </c>
      <c r="V170" s="2">
        <v>200</v>
      </c>
      <c r="W170" s="2">
        <v>200</v>
      </c>
      <c r="X170" s="2">
        <v>200</v>
      </c>
      <c r="Y170" s="2">
        <v>200</v>
      </c>
      <c r="Z170" s="2">
        <v>200</v>
      </c>
      <c r="AA170" s="2">
        <v>200</v>
      </c>
      <c r="AB170" s="2">
        <v>200</v>
      </c>
      <c r="AC170" s="2">
        <v>200</v>
      </c>
      <c r="AD170" s="2">
        <v>200</v>
      </c>
      <c r="AE170" s="2">
        <v>200</v>
      </c>
      <c r="AF170" s="2">
        <v>200</v>
      </c>
      <c r="AG170" s="2">
        <v>200</v>
      </c>
      <c r="AH170" s="2">
        <v>200</v>
      </c>
      <c r="AI170" s="2">
        <v>200</v>
      </c>
      <c r="AJ170" s="2">
        <v>200</v>
      </c>
      <c r="AK170" s="2">
        <v>200</v>
      </c>
      <c r="AL170" s="2">
        <v>200</v>
      </c>
      <c r="AM170" s="2">
        <v>200</v>
      </c>
      <c r="AN170" s="2">
        <v>200</v>
      </c>
      <c r="AO170" s="2">
        <v>200</v>
      </c>
      <c r="AP170" s="2">
        <v>200</v>
      </c>
      <c r="AQ170" s="2">
        <v>200</v>
      </c>
      <c r="AR170" s="2">
        <v>200</v>
      </c>
      <c r="AS170" s="2">
        <v>200</v>
      </c>
      <c r="AT170" s="2">
        <v>200</v>
      </c>
      <c r="AU170" s="2">
        <v>200</v>
      </c>
      <c r="AV170" s="2">
        <v>200</v>
      </c>
      <c r="AW170" s="2">
        <v>200</v>
      </c>
      <c r="AX170" s="2">
        <v>200</v>
      </c>
      <c r="AY170" s="2">
        <v>200</v>
      </c>
      <c r="AZ170" s="2">
        <v>200</v>
      </c>
      <c r="BA170" s="2">
        <v>200</v>
      </c>
      <c r="BB170" s="2">
        <v>200</v>
      </c>
      <c r="BC170" s="2">
        <v>200</v>
      </c>
      <c r="BD170" s="2">
        <v>200</v>
      </c>
      <c r="BE170" s="2">
        <v>200</v>
      </c>
      <c r="BF170" s="2">
        <v>200</v>
      </c>
      <c r="BG170" s="2">
        <v>200</v>
      </c>
      <c r="BH170" s="2">
        <v>200</v>
      </c>
      <c r="BI170" s="2">
        <v>200</v>
      </c>
      <c r="BJ170" s="2">
        <v>200</v>
      </c>
    </row>
    <row r="171" spans="1:70" ht="15.6" x14ac:dyDescent="0.3">
      <c r="A171" s="12" t="s">
        <v>159</v>
      </c>
      <c r="B171" s="2" t="s">
        <v>270</v>
      </c>
      <c r="C171" s="2" t="s">
        <v>207</v>
      </c>
      <c r="E171" s="2" t="s">
        <v>208</v>
      </c>
      <c r="G171" s="5"/>
      <c r="H171" s="17">
        <v>46069</v>
      </c>
      <c r="I171" s="18"/>
      <c r="K171" s="2">
        <v>6000</v>
      </c>
      <c r="L171" s="3">
        <f t="shared" si="20"/>
        <v>800</v>
      </c>
      <c r="M171" s="20"/>
      <c r="O171" s="6" t="str">
        <f t="shared" si="21"/>
        <v>Open</v>
      </c>
      <c r="P171" s="3">
        <f t="shared" si="22"/>
        <v>8</v>
      </c>
      <c r="Q171" s="2">
        <v>100</v>
      </c>
      <c r="R171" s="2">
        <v>100</v>
      </c>
      <c r="S171" s="2">
        <v>100</v>
      </c>
      <c r="T171" s="2">
        <v>100</v>
      </c>
      <c r="U171" s="2">
        <v>100</v>
      </c>
      <c r="V171" s="2">
        <v>100</v>
      </c>
      <c r="W171" s="2">
        <v>100</v>
      </c>
      <c r="X171" s="2">
        <v>100</v>
      </c>
      <c r="Y171" s="2">
        <v>100</v>
      </c>
      <c r="Z171" s="2">
        <v>100</v>
      </c>
      <c r="AA171" s="2">
        <v>100</v>
      </c>
      <c r="AB171" s="2">
        <v>100</v>
      </c>
      <c r="AC171" s="2">
        <v>100</v>
      </c>
      <c r="AD171" s="2">
        <v>100</v>
      </c>
      <c r="AE171" s="2">
        <v>100</v>
      </c>
      <c r="AF171" s="2">
        <v>100</v>
      </c>
      <c r="AG171" s="2">
        <v>100</v>
      </c>
      <c r="AH171" s="2">
        <v>100</v>
      </c>
      <c r="AI171" s="2">
        <v>100</v>
      </c>
      <c r="AJ171" s="2">
        <v>100</v>
      </c>
      <c r="AK171" s="2">
        <v>100</v>
      </c>
      <c r="AL171" s="2">
        <v>100</v>
      </c>
      <c r="AM171" s="2">
        <v>100</v>
      </c>
      <c r="AN171" s="2">
        <v>100</v>
      </c>
      <c r="AO171" s="2">
        <v>100</v>
      </c>
      <c r="AP171" s="2">
        <v>100</v>
      </c>
      <c r="AQ171" s="2">
        <v>100</v>
      </c>
      <c r="AR171" s="2">
        <v>100</v>
      </c>
      <c r="AS171" s="2">
        <v>100</v>
      </c>
      <c r="AT171" s="2">
        <v>100</v>
      </c>
      <c r="AU171" s="2">
        <v>100</v>
      </c>
      <c r="AV171" s="2">
        <v>100</v>
      </c>
      <c r="AW171" s="2">
        <v>100</v>
      </c>
      <c r="AX171" s="2">
        <v>100</v>
      </c>
      <c r="AY171" s="2">
        <v>100</v>
      </c>
      <c r="AZ171" s="2">
        <v>100</v>
      </c>
      <c r="BA171" s="2">
        <v>100</v>
      </c>
      <c r="BB171" s="2">
        <v>100</v>
      </c>
      <c r="BC171" s="2">
        <v>100</v>
      </c>
      <c r="BD171" s="2">
        <v>100</v>
      </c>
      <c r="BE171" s="2">
        <v>100</v>
      </c>
      <c r="BF171" s="2">
        <v>100</v>
      </c>
      <c r="BG171" s="2">
        <v>100</v>
      </c>
      <c r="BH171" s="2">
        <v>100</v>
      </c>
      <c r="BI171" s="2">
        <v>100</v>
      </c>
      <c r="BJ171" s="2">
        <v>100</v>
      </c>
      <c r="BK171" s="2">
        <v>100</v>
      </c>
      <c r="BL171" s="2">
        <v>100</v>
      </c>
      <c r="BM171" s="2">
        <v>100</v>
      </c>
      <c r="BN171" s="2">
        <v>100</v>
      </c>
      <c r="BO171" s="2">
        <v>100</v>
      </c>
      <c r="BP171" s="2">
        <v>100</v>
      </c>
    </row>
    <row r="172" spans="1:70" ht="15.6" x14ac:dyDescent="0.3">
      <c r="A172" s="12" t="s">
        <v>159</v>
      </c>
      <c r="B172" s="2" t="s">
        <v>270</v>
      </c>
      <c r="C172" s="2" t="s">
        <v>207</v>
      </c>
      <c r="E172" s="2" t="s">
        <v>209</v>
      </c>
      <c r="G172" s="5"/>
      <c r="H172" s="17">
        <v>46069</v>
      </c>
      <c r="I172" s="18"/>
      <c r="K172" s="2">
        <v>12000</v>
      </c>
      <c r="L172" s="3">
        <f t="shared" si="20"/>
        <v>10400</v>
      </c>
      <c r="M172" s="20"/>
      <c r="O172" s="6" t="str">
        <f t="shared" si="21"/>
        <v>Open</v>
      </c>
      <c r="P172" s="3">
        <f t="shared" si="22"/>
        <v>52</v>
      </c>
      <c r="Q172" s="2">
        <v>200</v>
      </c>
      <c r="R172" s="2">
        <v>200</v>
      </c>
      <c r="S172" s="2">
        <v>200</v>
      </c>
      <c r="T172" s="2">
        <v>200</v>
      </c>
      <c r="U172" s="2">
        <v>200</v>
      </c>
      <c r="V172" s="2">
        <v>200</v>
      </c>
      <c r="W172" s="2">
        <v>200</v>
      </c>
      <c r="X172" s="2">
        <v>200</v>
      </c>
    </row>
    <row r="173" spans="1:70" ht="15.6" x14ac:dyDescent="0.3">
      <c r="A173" s="12" t="s">
        <v>159</v>
      </c>
      <c r="B173" s="2" t="s">
        <v>270</v>
      </c>
      <c r="C173" s="2" t="s">
        <v>207</v>
      </c>
      <c r="E173" s="2" t="s">
        <v>211</v>
      </c>
      <c r="G173" s="5"/>
      <c r="H173" s="17">
        <v>46069</v>
      </c>
      <c r="I173" s="18"/>
      <c r="K173" s="2">
        <v>12000</v>
      </c>
      <c r="L173" s="3">
        <f t="shared" si="20"/>
        <v>10600</v>
      </c>
      <c r="M173" s="20"/>
      <c r="O173" s="6" t="str">
        <f t="shared" si="21"/>
        <v>Open</v>
      </c>
      <c r="P173" s="3">
        <f t="shared" si="22"/>
        <v>53</v>
      </c>
      <c r="Q173" s="2">
        <v>200</v>
      </c>
      <c r="R173" s="2">
        <v>200</v>
      </c>
      <c r="S173" s="2">
        <v>200</v>
      </c>
      <c r="T173" s="2">
        <v>200</v>
      </c>
      <c r="U173" s="2">
        <v>200</v>
      </c>
      <c r="V173" s="2">
        <v>200</v>
      </c>
      <c r="W173" s="2">
        <v>200</v>
      </c>
    </row>
    <row r="174" spans="1:70" ht="15.6" x14ac:dyDescent="0.3">
      <c r="A174" s="12" t="s">
        <v>159</v>
      </c>
      <c r="B174" s="2" t="s">
        <v>270</v>
      </c>
      <c r="C174" s="2" t="s">
        <v>207</v>
      </c>
      <c r="E174" s="2" t="s">
        <v>212</v>
      </c>
      <c r="G174" s="5"/>
      <c r="H174" s="17">
        <v>46069</v>
      </c>
      <c r="I174" s="18"/>
      <c r="K174" s="2">
        <v>18000</v>
      </c>
      <c r="L174" s="3">
        <f t="shared" si="20"/>
        <v>16200</v>
      </c>
      <c r="M174" s="20"/>
      <c r="O174" s="6" t="str">
        <f t="shared" si="21"/>
        <v>Open</v>
      </c>
      <c r="P174" s="3">
        <f t="shared" si="22"/>
        <v>54</v>
      </c>
      <c r="Q174" s="2">
        <v>300</v>
      </c>
      <c r="R174" s="2">
        <v>300</v>
      </c>
      <c r="S174" s="2">
        <v>300</v>
      </c>
      <c r="T174" s="2">
        <v>300</v>
      </c>
      <c r="U174" s="2">
        <v>300</v>
      </c>
      <c r="V174" s="2">
        <v>300</v>
      </c>
    </row>
    <row r="175" spans="1:70" ht="15.6" x14ac:dyDescent="0.3">
      <c r="A175" s="12" t="s">
        <v>159</v>
      </c>
      <c r="B175" s="2" t="s">
        <v>270</v>
      </c>
      <c r="C175" s="2" t="s">
        <v>207</v>
      </c>
      <c r="E175" s="2" t="s">
        <v>213</v>
      </c>
      <c r="G175" s="5"/>
      <c r="H175" s="17">
        <v>46069</v>
      </c>
      <c r="I175" s="18"/>
      <c r="K175" s="2">
        <v>18000</v>
      </c>
      <c r="L175" s="3">
        <f t="shared" si="20"/>
        <v>17400</v>
      </c>
      <c r="M175" s="20"/>
      <c r="O175" s="6" t="str">
        <f t="shared" si="21"/>
        <v>Open</v>
      </c>
      <c r="P175" s="3">
        <f t="shared" si="22"/>
        <v>58</v>
      </c>
      <c r="Q175" s="2">
        <v>300</v>
      </c>
      <c r="R175" s="2">
        <v>300</v>
      </c>
    </row>
    <row r="176" spans="1:70" ht="15.6" x14ac:dyDescent="0.3">
      <c r="A176" s="12" t="s">
        <v>159</v>
      </c>
      <c r="B176" s="2" t="s">
        <v>270</v>
      </c>
      <c r="C176" s="2" t="s">
        <v>207</v>
      </c>
      <c r="E176" s="2" t="s">
        <v>214</v>
      </c>
      <c r="G176" s="5"/>
      <c r="H176" s="17">
        <v>46069</v>
      </c>
      <c r="I176" s="18"/>
      <c r="K176" s="2">
        <v>18000</v>
      </c>
      <c r="L176" s="3">
        <f t="shared" si="20"/>
        <v>17400</v>
      </c>
      <c r="M176" s="20"/>
      <c r="O176" s="6" t="str">
        <f t="shared" si="21"/>
        <v>Open</v>
      </c>
      <c r="P176" s="3">
        <f t="shared" si="22"/>
        <v>58</v>
      </c>
      <c r="Q176" s="2">
        <v>300</v>
      </c>
      <c r="R176" s="2">
        <v>300</v>
      </c>
    </row>
    <row r="177" spans="1:61" ht="15.6" x14ac:dyDescent="0.3">
      <c r="A177" s="12" t="s">
        <v>159</v>
      </c>
      <c r="B177" s="2" t="s">
        <v>270</v>
      </c>
      <c r="C177" s="2" t="s">
        <v>207</v>
      </c>
      <c r="E177" s="2" t="s">
        <v>215</v>
      </c>
      <c r="G177" s="5"/>
      <c r="H177" s="17">
        <v>46069</v>
      </c>
      <c r="I177" s="18"/>
      <c r="K177" s="2">
        <v>17500</v>
      </c>
      <c r="L177" s="3">
        <f t="shared" si="20"/>
        <v>17500</v>
      </c>
      <c r="M177" s="20"/>
      <c r="O177" s="6" t="str">
        <f t="shared" si="21"/>
        <v>Open</v>
      </c>
      <c r="P177" s="3">
        <f t="shared" si="22"/>
        <v>60</v>
      </c>
    </row>
    <row r="178" spans="1:61" ht="15.6" x14ac:dyDescent="0.3">
      <c r="A178" s="12" t="s">
        <v>159</v>
      </c>
      <c r="B178" s="2" t="s">
        <v>270</v>
      </c>
      <c r="C178" s="2" t="s">
        <v>207</v>
      </c>
      <c r="E178" s="2" t="s">
        <v>216</v>
      </c>
      <c r="G178" s="5"/>
      <c r="H178" s="17">
        <v>46069</v>
      </c>
      <c r="I178" s="18"/>
      <c r="K178" s="2">
        <v>12000</v>
      </c>
      <c r="L178" s="3">
        <f t="shared" si="20"/>
        <v>3000</v>
      </c>
      <c r="M178" s="20"/>
      <c r="O178" s="6" t="str">
        <f t="shared" si="21"/>
        <v>Open</v>
      </c>
      <c r="P178" s="3">
        <f t="shared" si="22"/>
        <v>15</v>
      </c>
      <c r="Q178" s="2">
        <v>200</v>
      </c>
      <c r="R178" s="2">
        <v>200</v>
      </c>
      <c r="S178" s="2">
        <v>200</v>
      </c>
      <c r="T178" s="2">
        <v>200</v>
      </c>
      <c r="U178" s="2">
        <v>200</v>
      </c>
      <c r="V178" s="2">
        <v>200</v>
      </c>
      <c r="W178" s="2">
        <v>200</v>
      </c>
      <c r="X178" s="2">
        <v>200</v>
      </c>
      <c r="Y178" s="2">
        <v>200</v>
      </c>
      <c r="Z178" s="2">
        <v>200</v>
      </c>
      <c r="AA178" s="2">
        <v>200</v>
      </c>
      <c r="AB178" s="2">
        <v>200</v>
      </c>
      <c r="AC178" s="2">
        <v>200</v>
      </c>
      <c r="AD178" s="2">
        <v>200</v>
      </c>
      <c r="AE178" s="2">
        <v>200</v>
      </c>
      <c r="AF178" s="2">
        <v>200</v>
      </c>
      <c r="AG178" s="2">
        <v>200</v>
      </c>
      <c r="AH178" s="2">
        <v>200</v>
      </c>
      <c r="AI178" s="2">
        <v>200</v>
      </c>
      <c r="AJ178" s="2">
        <v>200</v>
      </c>
      <c r="AK178" s="2">
        <v>200</v>
      </c>
      <c r="AL178" s="2">
        <v>200</v>
      </c>
      <c r="AM178" s="2">
        <v>200</v>
      </c>
      <c r="AN178" s="2">
        <v>200</v>
      </c>
      <c r="AO178" s="2">
        <v>200</v>
      </c>
      <c r="AP178" s="2">
        <v>200</v>
      </c>
      <c r="AQ178" s="2">
        <v>200</v>
      </c>
      <c r="AR178" s="2">
        <v>200</v>
      </c>
      <c r="AS178" s="2">
        <v>200</v>
      </c>
      <c r="AT178" s="2">
        <v>200</v>
      </c>
      <c r="AU178" s="2">
        <v>200</v>
      </c>
      <c r="AV178" s="2">
        <v>200</v>
      </c>
      <c r="AW178" s="2">
        <v>200</v>
      </c>
      <c r="AX178" s="2">
        <v>200</v>
      </c>
      <c r="AY178" s="2">
        <v>200</v>
      </c>
      <c r="AZ178" s="2">
        <v>200</v>
      </c>
      <c r="BA178" s="2">
        <v>200</v>
      </c>
      <c r="BB178" s="2">
        <v>200</v>
      </c>
      <c r="BC178" s="2">
        <v>200</v>
      </c>
      <c r="BD178" s="2">
        <v>200</v>
      </c>
      <c r="BE178" s="2">
        <v>200</v>
      </c>
      <c r="BF178" s="2">
        <v>200</v>
      </c>
      <c r="BG178" s="2">
        <v>200</v>
      </c>
      <c r="BH178" s="2">
        <v>200</v>
      </c>
      <c r="BI178" s="2">
        <v>200</v>
      </c>
    </row>
    <row r="179" spans="1:61" ht="15.6" x14ac:dyDescent="0.3">
      <c r="A179" s="12" t="s">
        <v>159</v>
      </c>
      <c r="B179" s="2" t="s">
        <v>270</v>
      </c>
      <c r="C179" s="2" t="s">
        <v>207</v>
      </c>
      <c r="E179" s="2" t="s">
        <v>98</v>
      </c>
      <c r="G179" s="5"/>
      <c r="H179" s="17">
        <v>46069</v>
      </c>
      <c r="I179" s="18"/>
      <c r="K179" s="2">
        <v>9000</v>
      </c>
      <c r="L179" s="3">
        <f t="shared" si="20"/>
        <v>3000</v>
      </c>
      <c r="M179" s="20"/>
      <c r="O179" s="6" t="str">
        <f t="shared" si="21"/>
        <v>Open</v>
      </c>
      <c r="P179" s="3">
        <f t="shared" si="22"/>
        <v>20</v>
      </c>
      <c r="Q179" s="2">
        <v>150</v>
      </c>
      <c r="R179" s="2">
        <v>150</v>
      </c>
      <c r="S179" s="2">
        <v>150</v>
      </c>
      <c r="T179" s="2">
        <v>150</v>
      </c>
      <c r="U179" s="2">
        <v>150</v>
      </c>
      <c r="V179" s="2">
        <v>150</v>
      </c>
      <c r="W179" s="2">
        <v>150</v>
      </c>
      <c r="X179" s="2">
        <v>150</v>
      </c>
      <c r="Y179" s="2">
        <v>150</v>
      </c>
      <c r="Z179" s="2">
        <v>150</v>
      </c>
      <c r="AA179" s="2">
        <v>150</v>
      </c>
      <c r="AB179" s="2">
        <v>150</v>
      </c>
      <c r="AC179" s="2">
        <v>150</v>
      </c>
      <c r="AD179" s="2">
        <v>150</v>
      </c>
      <c r="AE179" s="2">
        <v>150</v>
      </c>
      <c r="AF179" s="2">
        <v>150</v>
      </c>
      <c r="AG179" s="2">
        <v>150</v>
      </c>
      <c r="AH179" s="2">
        <v>150</v>
      </c>
      <c r="AI179" s="2">
        <v>150</v>
      </c>
      <c r="AJ179" s="2">
        <v>150</v>
      </c>
      <c r="AK179" s="2">
        <v>150</v>
      </c>
      <c r="AL179" s="2">
        <v>150</v>
      </c>
      <c r="AM179" s="2">
        <v>150</v>
      </c>
      <c r="AN179" s="2">
        <v>150</v>
      </c>
      <c r="AO179" s="2">
        <v>150</v>
      </c>
      <c r="AP179" s="2">
        <v>150</v>
      </c>
      <c r="AQ179" s="2">
        <v>150</v>
      </c>
      <c r="AR179" s="2">
        <v>150</v>
      </c>
      <c r="AS179" s="2">
        <v>150</v>
      </c>
      <c r="AT179" s="2">
        <v>150</v>
      </c>
      <c r="AU179" s="2">
        <v>150</v>
      </c>
      <c r="AV179" s="2">
        <v>150</v>
      </c>
      <c r="AW179" s="2">
        <v>150</v>
      </c>
      <c r="AX179" s="2">
        <v>150</v>
      </c>
      <c r="AY179" s="2">
        <v>150</v>
      </c>
      <c r="AZ179" s="2">
        <v>150</v>
      </c>
      <c r="BA179" s="2">
        <v>150</v>
      </c>
      <c r="BB179" s="2">
        <v>150</v>
      </c>
      <c r="BC179" s="2">
        <v>150</v>
      </c>
      <c r="BD179" s="2">
        <v>150</v>
      </c>
    </row>
    <row r="180" spans="1:61" ht="15.6" x14ac:dyDescent="0.3">
      <c r="A180" s="12" t="s">
        <v>159</v>
      </c>
      <c r="B180" s="2" t="s">
        <v>270</v>
      </c>
      <c r="C180" s="2" t="s">
        <v>207</v>
      </c>
      <c r="E180" s="2" t="s">
        <v>217</v>
      </c>
      <c r="G180" s="5"/>
      <c r="H180" s="17">
        <v>46069</v>
      </c>
      <c r="I180" s="18"/>
      <c r="K180" s="2">
        <v>12000</v>
      </c>
      <c r="L180" s="3">
        <f t="shared" si="20"/>
        <v>4600</v>
      </c>
      <c r="M180" s="20"/>
      <c r="O180" s="6" t="str">
        <f t="shared" si="21"/>
        <v>Open</v>
      </c>
      <c r="P180" s="3">
        <f t="shared" si="22"/>
        <v>23</v>
      </c>
      <c r="Q180" s="2">
        <v>200</v>
      </c>
      <c r="R180" s="2">
        <v>200</v>
      </c>
      <c r="S180" s="2">
        <v>200</v>
      </c>
      <c r="T180" s="2">
        <v>200</v>
      </c>
      <c r="U180" s="2">
        <v>200</v>
      </c>
      <c r="V180" s="2">
        <v>200</v>
      </c>
      <c r="W180" s="2">
        <v>200</v>
      </c>
      <c r="X180" s="2">
        <v>200</v>
      </c>
      <c r="Y180" s="2">
        <v>200</v>
      </c>
      <c r="Z180" s="2">
        <v>200</v>
      </c>
      <c r="AA180" s="2">
        <v>200</v>
      </c>
      <c r="AB180" s="2">
        <v>200</v>
      </c>
      <c r="AC180" s="2">
        <v>200</v>
      </c>
      <c r="AD180" s="2">
        <v>200</v>
      </c>
      <c r="AE180" s="2">
        <v>200</v>
      </c>
      <c r="AF180" s="2">
        <v>200</v>
      </c>
      <c r="AG180" s="2">
        <v>200</v>
      </c>
      <c r="AH180" s="2">
        <v>200</v>
      </c>
      <c r="AI180" s="2">
        <v>200</v>
      </c>
      <c r="AJ180" s="2">
        <v>200</v>
      </c>
      <c r="AK180" s="2">
        <v>200</v>
      </c>
      <c r="AL180" s="2">
        <v>200</v>
      </c>
      <c r="AM180" s="2">
        <v>200</v>
      </c>
      <c r="AN180" s="2">
        <v>200</v>
      </c>
      <c r="AO180" s="2">
        <v>200</v>
      </c>
      <c r="AP180" s="2">
        <v>200</v>
      </c>
      <c r="AQ180" s="2">
        <v>200</v>
      </c>
      <c r="AR180" s="2">
        <v>200</v>
      </c>
      <c r="AS180" s="2">
        <v>200</v>
      </c>
      <c r="AT180" s="2">
        <v>200</v>
      </c>
      <c r="AU180" s="2">
        <v>200</v>
      </c>
      <c r="AV180" s="2">
        <v>200</v>
      </c>
      <c r="AW180" s="2">
        <v>200</v>
      </c>
      <c r="AX180" s="2">
        <v>200</v>
      </c>
      <c r="AY180" s="2">
        <v>200</v>
      </c>
      <c r="AZ180" s="2">
        <v>200</v>
      </c>
      <c r="BA180" s="2">
        <v>200</v>
      </c>
    </row>
    <row r="181" spans="1:61" ht="15.6" x14ac:dyDescent="0.3">
      <c r="A181" s="12" t="s">
        <v>159</v>
      </c>
      <c r="B181" s="2" t="s">
        <v>270</v>
      </c>
      <c r="C181" s="2" t="s">
        <v>207</v>
      </c>
      <c r="E181" s="2" t="s">
        <v>75</v>
      </c>
      <c r="G181" s="5"/>
      <c r="H181" s="17">
        <v>46069</v>
      </c>
      <c r="I181" s="18"/>
      <c r="K181" s="2">
        <v>12000</v>
      </c>
      <c r="L181" s="3">
        <f t="shared" si="20"/>
        <v>4200</v>
      </c>
      <c r="M181" s="20"/>
      <c r="O181" s="6" t="str">
        <f t="shared" si="21"/>
        <v>Open</v>
      </c>
      <c r="P181" s="3">
        <f t="shared" si="22"/>
        <v>21</v>
      </c>
      <c r="Q181" s="2">
        <v>200</v>
      </c>
      <c r="R181" s="2">
        <v>200</v>
      </c>
      <c r="S181" s="2">
        <v>200</v>
      </c>
      <c r="T181" s="2">
        <v>200</v>
      </c>
      <c r="U181" s="2">
        <v>200</v>
      </c>
      <c r="V181" s="2">
        <v>200</v>
      </c>
      <c r="W181" s="2">
        <v>200</v>
      </c>
      <c r="X181" s="2">
        <v>200</v>
      </c>
      <c r="Y181" s="2">
        <v>200</v>
      </c>
      <c r="Z181" s="2">
        <v>200</v>
      </c>
      <c r="AA181" s="2">
        <v>200</v>
      </c>
      <c r="AB181" s="2">
        <v>200</v>
      </c>
      <c r="AC181" s="2">
        <v>200</v>
      </c>
      <c r="AD181" s="2">
        <v>200</v>
      </c>
      <c r="AE181" s="2">
        <v>200</v>
      </c>
      <c r="AF181" s="2">
        <v>200</v>
      </c>
      <c r="AG181" s="2">
        <v>200</v>
      </c>
      <c r="AH181" s="2">
        <v>200</v>
      </c>
      <c r="AI181" s="2">
        <v>200</v>
      </c>
      <c r="AJ181" s="2">
        <v>200</v>
      </c>
      <c r="AK181" s="2">
        <v>200</v>
      </c>
      <c r="AL181" s="2">
        <v>200</v>
      </c>
      <c r="AM181" s="2">
        <v>200</v>
      </c>
      <c r="AN181" s="2">
        <v>200</v>
      </c>
      <c r="AO181" s="2">
        <v>200</v>
      </c>
      <c r="AP181" s="2">
        <v>200</v>
      </c>
      <c r="AQ181" s="2">
        <v>200</v>
      </c>
      <c r="AR181" s="2">
        <v>200</v>
      </c>
      <c r="AS181" s="2">
        <v>200</v>
      </c>
      <c r="AT181" s="2">
        <v>200</v>
      </c>
      <c r="AU181" s="2">
        <v>200</v>
      </c>
      <c r="AV181" s="2">
        <v>200</v>
      </c>
      <c r="AW181" s="2">
        <v>200</v>
      </c>
      <c r="AX181" s="2">
        <v>200</v>
      </c>
      <c r="AY181" s="2">
        <v>200</v>
      </c>
      <c r="AZ181" s="2">
        <v>200</v>
      </c>
      <c r="BA181" s="2">
        <v>200</v>
      </c>
      <c r="BB181" s="2">
        <v>200</v>
      </c>
      <c r="BC181" s="2">
        <v>200</v>
      </c>
    </row>
    <row r="182" spans="1:61" ht="15.6" x14ac:dyDescent="0.3">
      <c r="A182" s="12" t="s">
        <v>159</v>
      </c>
      <c r="B182" s="2" t="s">
        <v>270</v>
      </c>
      <c r="C182" s="2" t="s">
        <v>207</v>
      </c>
      <c r="E182" s="2" t="s">
        <v>218</v>
      </c>
      <c r="G182" s="5"/>
      <c r="H182" s="17">
        <v>46069</v>
      </c>
      <c r="I182" s="18"/>
      <c r="K182" s="2">
        <v>18000</v>
      </c>
      <c r="L182" s="3">
        <f t="shared" si="20"/>
        <v>8100</v>
      </c>
      <c r="M182" s="20"/>
      <c r="O182" s="6" t="str">
        <f t="shared" si="21"/>
        <v>Open</v>
      </c>
      <c r="P182" s="3">
        <f t="shared" si="22"/>
        <v>27</v>
      </c>
      <c r="Q182" s="2">
        <v>300</v>
      </c>
      <c r="R182" s="2">
        <v>300</v>
      </c>
      <c r="S182" s="2">
        <v>300</v>
      </c>
      <c r="T182" s="2">
        <v>300</v>
      </c>
      <c r="U182" s="2">
        <v>300</v>
      </c>
      <c r="V182" s="2">
        <v>300</v>
      </c>
      <c r="W182" s="2">
        <v>300</v>
      </c>
      <c r="X182" s="2">
        <v>300</v>
      </c>
      <c r="Y182" s="2">
        <v>300</v>
      </c>
      <c r="Z182" s="2">
        <v>300</v>
      </c>
      <c r="AA182" s="2">
        <v>300</v>
      </c>
      <c r="AB182" s="2">
        <v>300</v>
      </c>
      <c r="AC182" s="2">
        <v>300</v>
      </c>
      <c r="AD182" s="2">
        <v>300</v>
      </c>
      <c r="AE182" s="2">
        <v>300</v>
      </c>
      <c r="AF182" s="2">
        <v>300</v>
      </c>
      <c r="AG182" s="2">
        <v>300</v>
      </c>
      <c r="AH182" s="2">
        <v>300</v>
      </c>
      <c r="AI182" s="2">
        <v>300</v>
      </c>
      <c r="AJ182" s="2">
        <v>300</v>
      </c>
      <c r="AK182" s="2">
        <v>300</v>
      </c>
      <c r="AL182" s="2">
        <v>300</v>
      </c>
      <c r="AM182" s="2">
        <v>300</v>
      </c>
      <c r="AN182" s="2">
        <v>300</v>
      </c>
      <c r="AO182" s="2">
        <v>300</v>
      </c>
      <c r="AP182" s="2">
        <v>300</v>
      </c>
      <c r="AQ182" s="2">
        <v>300</v>
      </c>
      <c r="AR182" s="2">
        <v>300</v>
      </c>
      <c r="AS182" s="2">
        <v>300</v>
      </c>
      <c r="AT182" s="2">
        <v>300</v>
      </c>
      <c r="AU182" s="2">
        <v>300</v>
      </c>
      <c r="AV182" s="2">
        <v>300</v>
      </c>
      <c r="AW182" s="2">
        <v>300</v>
      </c>
    </row>
    <row r="183" spans="1:61" ht="15.6" x14ac:dyDescent="0.3">
      <c r="A183" s="12" t="s">
        <v>159</v>
      </c>
      <c r="B183" s="2" t="s">
        <v>270</v>
      </c>
      <c r="C183" s="2" t="s">
        <v>207</v>
      </c>
      <c r="E183" s="2" t="s">
        <v>87</v>
      </c>
      <c r="G183" s="5"/>
      <c r="H183" s="17">
        <v>46069</v>
      </c>
      <c r="I183" s="18"/>
      <c r="K183" s="2">
        <v>6000</v>
      </c>
      <c r="L183" s="3">
        <f t="shared" si="20"/>
        <v>2100</v>
      </c>
      <c r="M183" s="20"/>
      <c r="O183" s="6" t="str">
        <f t="shared" si="21"/>
        <v>Open</v>
      </c>
      <c r="P183" s="3">
        <f t="shared" si="22"/>
        <v>21</v>
      </c>
      <c r="Q183" s="2">
        <v>100</v>
      </c>
      <c r="R183" s="2">
        <v>100</v>
      </c>
      <c r="S183" s="2">
        <v>100</v>
      </c>
      <c r="T183" s="2">
        <v>100</v>
      </c>
      <c r="U183" s="2">
        <v>100</v>
      </c>
      <c r="V183" s="2">
        <v>100</v>
      </c>
      <c r="W183" s="2">
        <v>100</v>
      </c>
      <c r="X183" s="2">
        <v>100</v>
      </c>
      <c r="Y183" s="2">
        <v>100</v>
      </c>
      <c r="Z183" s="2">
        <v>100</v>
      </c>
      <c r="AA183" s="2">
        <v>100</v>
      </c>
      <c r="AB183" s="2">
        <v>100</v>
      </c>
      <c r="AC183" s="2">
        <v>100</v>
      </c>
      <c r="AD183" s="2">
        <v>100</v>
      </c>
      <c r="AE183" s="2">
        <v>100</v>
      </c>
      <c r="AF183" s="2">
        <v>100</v>
      </c>
      <c r="AG183" s="2">
        <v>100</v>
      </c>
      <c r="AH183" s="2">
        <v>100</v>
      </c>
      <c r="AI183" s="2">
        <v>100</v>
      </c>
      <c r="AJ183" s="2">
        <v>100</v>
      </c>
      <c r="AK183" s="2">
        <v>100</v>
      </c>
      <c r="AL183" s="2">
        <v>100</v>
      </c>
      <c r="AM183" s="2">
        <v>100</v>
      </c>
      <c r="AN183" s="2">
        <v>100</v>
      </c>
      <c r="AO183" s="2">
        <v>100</v>
      </c>
      <c r="AP183" s="2">
        <v>100</v>
      </c>
      <c r="AQ183" s="2">
        <v>100</v>
      </c>
      <c r="AR183" s="2">
        <v>100</v>
      </c>
      <c r="AS183" s="2">
        <v>100</v>
      </c>
      <c r="AT183" s="2">
        <v>100</v>
      </c>
      <c r="AU183" s="2">
        <v>100</v>
      </c>
      <c r="AV183" s="2">
        <v>100</v>
      </c>
      <c r="AW183" s="2">
        <v>100</v>
      </c>
      <c r="AX183" s="2">
        <v>100</v>
      </c>
      <c r="AY183" s="2">
        <v>100</v>
      </c>
      <c r="AZ183" s="2">
        <v>100</v>
      </c>
      <c r="BA183" s="2">
        <v>100</v>
      </c>
      <c r="BB183" s="2">
        <v>100</v>
      </c>
      <c r="BC183" s="2">
        <v>100</v>
      </c>
    </row>
    <row r="184" spans="1:61" ht="15.6" x14ac:dyDescent="0.3">
      <c r="A184" s="12" t="s">
        <v>159</v>
      </c>
      <c r="B184" s="2" t="s">
        <v>270</v>
      </c>
      <c r="C184" s="2" t="s">
        <v>207</v>
      </c>
      <c r="E184" s="2" t="s">
        <v>165</v>
      </c>
      <c r="G184" s="5"/>
      <c r="H184" s="17">
        <v>46069</v>
      </c>
      <c r="I184" s="18"/>
      <c r="K184" s="2">
        <v>6000</v>
      </c>
      <c r="L184" s="3">
        <f t="shared" si="20"/>
        <v>2400</v>
      </c>
      <c r="M184" s="20"/>
      <c r="O184" s="6" t="str">
        <f t="shared" si="21"/>
        <v>Open</v>
      </c>
      <c r="P184" s="3">
        <f t="shared" si="22"/>
        <v>24</v>
      </c>
      <c r="Q184" s="2">
        <v>100</v>
      </c>
      <c r="R184" s="2">
        <v>100</v>
      </c>
      <c r="S184" s="2">
        <v>100</v>
      </c>
      <c r="T184" s="2">
        <v>100</v>
      </c>
      <c r="U184" s="2">
        <v>100</v>
      </c>
      <c r="V184" s="2">
        <v>100</v>
      </c>
      <c r="W184" s="2">
        <v>100</v>
      </c>
      <c r="X184" s="2">
        <v>100</v>
      </c>
      <c r="Y184" s="2">
        <v>100</v>
      </c>
      <c r="Z184" s="2">
        <v>100</v>
      </c>
      <c r="AA184" s="2">
        <v>100</v>
      </c>
      <c r="AB184" s="2">
        <v>100</v>
      </c>
      <c r="AC184" s="2">
        <v>100</v>
      </c>
      <c r="AD184" s="2">
        <v>100</v>
      </c>
      <c r="AE184" s="2">
        <v>100</v>
      </c>
      <c r="AF184" s="2">
        <v>100</v>
      </c>
      <c r="AG184" s="2">
        <v>100</v>
      </c>
      <c r="AH184" s="2">
        <v>100</v>
      </c>
      <c r="AI184" s="2">
        <v>100</v>
      </c>
      <c r="AJ184" s="2">
        <v>100</v>
      </c>
      <c r="AK184" s="2">
        <v>100</v>
      </c>
      <c r="AL184" s="2">
        <v>100</v>
      </c>
      <c r="AM184" s="2">
        <v>100</v>
      </c>
      <c r="AN184" s="2">
        <v>100</v>
      </c>
      <c r="AO184" s="2">
        <v>100</v>
      </c>
      <c r="AP184" s="2">
        <v>100</v>
      </c>
      <c r="AQ184" s="2">
        <v>100</v>
      </c>
      <c r="AR184" s="2">
        <v>100</v>
      </c>
      <c r="AS184" s="2">
        <v>100</v>
      </c>
      <c r="AT184" s="2">
        <v>100</v>
      </c>
      <c r="AU184" s="2">
        <v>100</v>
      </c>
      <c r="AV184" s="2">
        <v>100</v>
      </c>
      <c r="AW184" s="2">
        <v>100</v>
      </c>
      <c r="AX184" s="2">
        <v>100</v>
      </c>
      <c r="AY184" s="2">
        <v>100</v>
      </c>
      <c r="AZ184" s="2">
        <v>100</v>
      </c>
    </row>
    <row r="185" spans="1:61" ht="15.6" x14ac:dyDescent="0.3">
      <c r="A185" s="12" t="s">
        <v>159</v>
      </c>
      <c r="B185" s="2" t="s">
        <v>270</v>
      </c>
      <c r="C185" s="2" t="s">
        <v>207</v>
      </c>
      <c r="E185" s="2" t="s">
        <v>219</v>
      </c>
      <c r="G185" s="5"/>
      <c r="H185" s="17">
        <v>46069</v>
      </c>
      <c r="I185" s="18"/>
      <c r="K185" s="2">
        <v>2500</v>
      </c>
      <c r="L185" s="3">
        <f t="shared" si="20"/>
        <v>700</v>
      </c>
      <c r="M185" s="20"/>
      <c r="O185" s="6" t="str">
        <f t="shared" si="21"/>
        <v>Open</v>
      </c>
      <c r="P185" s="3">
        <f t="shared" si="22"/>
        <v>24</v>
      </c>
      <c r="Q185" s="2">
        <v>50</v>
      </c>
      <c r="R185" s="2">
        <v>50</v>
      </c>
      <c r="S185" s="2">
        <v>50</v>
      </c>
      <c r="T185" s="2">
        <v>50</v>
      </c>
      <c r="U185" s="2">
        <v>50</v>
      </c>
      <c r="V185" s="2">
        <v>50</v>
      </c>
      <c r="W185" s="2">
        <v>50</v>
      </c>
      <c r="X185" s="2">
        <v>50</v>
      </c>
      <c r="Y185" s="2">
        <v>50</v>
      </c>
      <c r="Z185" s="2">
        <v>50</v>
      </c>
      <c r="AA185" s="2">
        <v>50</v>
      </c>
      <c r="AB185" s="2">
        <v>50</v>
      </c>
      <c r="AC185" s="2">
        <v>50</v>
      </c>
      <c r="AD185" s="2">
        <v>50</v>
      </c>
      <c r="AE185" s="2">
        <v>50</v>
      </c>
      <c r="AF185" s="2">
        <v>50</v>
      </c>
      <c r="AG185" s="2">
        <v>50</v>
      </c>
      <c r="AH185" s="2">
        <v>50</v>
      </c>
      <c r="AI185" s="2">
        <v>50</v>
      </c>
      <c r="AJ185" s="2">
        <v>50</v>
      </c>
      <c r="AK185" s="2">
        <v>50</v>
      </c>
      <c r="AL185" s="2">
        <v>50</v>
      </c>
      <c r="AM185" s="2">
        <v>50</v>
      </c>
      <c r="AN185" s="2">
        <v>50</v>
      </c>
      <c r="AO185" s="2">
        <v>50</v>
      </c>
      <c r="AP185" s="2">
        <v>50</v>
      </c>
      <c r="AQ185" s="2">
        <v>50</v>
      </c>
      <c r="AR185" s="2">
        <v>50</v>
      </c>
      <c r="AS185" s="2">
        <v>50</v>
      </c>
      <c r="AT185" s="2">
        <v>50</v>
      </c>
      <c r="AU185" s="2">
        <v>50</v>
      </c>
      <c r="AV185" s="2">
        <v>50</v>
      </c>
      <c r="AW185" s="2">
        <v>50</v>
      </c>
      <c r="AX185" s="2">
        <v>50</v>
      </c>
      <c r="AY185" s="2">
        <v>50</v>
      </c>
      <c r="AZ185" s="2">
        <v>50</v>
      </c>
    </row>
    <row r="186" spans="1:61" ht="15.6" x14ac:dyDescent="0.3">
      <c r="A186" s="12" t="s">
        <v>159</v>
      </c>
      <c r="B186" s="2" t="s">
        <v>270</v>
      </c>
      <c r="C186" s="2" t="s">
        <v>207</v>
      </c>
      <c r="E186" s="2" t="s">
        <v>102</v>
      </c>
      <c r="G186" s="5"/>
      <c r="H186" s="17">
        <v>46069</v>
      </c>
      <c r="I186" s="18"/>
      <c r="K186" s="2">
        <v>12000</v>
      </c>
      <c r="L186" s="3">
        <f t="shared" si="20"/>
        <v>5000</v>
      </c>
      <c r="M186" s="20"/>
      <c r="O186" s="6" t="str">
        <f t="shared" si="21"/>
        <v>Open</v>
      </c>
      <c r="P186" s="3">
        <f t="shared" si="22"/>
        <v>25</v>
      </c>
      <c r="Q186" s="2">
        <v>200</v>
      </c>
      <c r="R186" s="2">
        <v>200</v>
      </c>
      <c r="S186" s="2">
        <v>200</v>
      </c>
      <c r="T186" s="2">
        <v>200</v>
      </c>
      <c r="U186" s="2">
        <v>200</v>
      </c>
      <c r="V186" s="2">
        <v>200</v>
      </c>
      <c r="W186" s="2">
        <v>200</v>
      </c>
      <c r="X186" s="2">
        <v>200</v>
      </c>
      <c r="Y186" s="2">
        <v>200</v>
      </c>
      <c r="Z186" s="2">
        <v>200</v>
      </c>
      <c r="AA186" s="2">
        <v>200</v>
      </c>
      <c r="AB186" s="2">
        <v>200</v>
      </c>
      <c r="AC186" s="2">
        <v>200</v>
      </c>
      <c r="AD186" s="2">
        <v>200</v>
      </c>
      <c r="AE186" s="2">
        <v>200</v>
      </c>
      <c r="AF186" s="2">
        <v>200</v>
      </c>
      <c r="AG186" s="2">
        <v>200</v>
      </c>
      <c r="AH186" s="2">
        <v>200</v>
      </c>
      <c r="AI186" s="2">
        <v>200</v>
      </c>
      <c r="AJ186" s="2">
        <v>200</v>
      </c>
      <c r="AK186" s="2">
        <v>200</v>
      </c>
      <c r="AL186" s="2">
        <v>200</v>
      </c>
      <c r="AM186" s="2">
        <v>200</v>
      </c>
      <c r="AN186" s="2">
        <v>200</v>
      </c>
      <c r="AO186" s="2">
        <v>200</v>
      </c>
      <c r="AP186" s="2">
        <v>200</v>
      </c>
      <c r="AQ186" s="2">
        <v>200</v>
      </c>
      <c r="AR186" s="2">
        <v>200</v>
      </c>
      <c r="AS186" s="2">
        <v>200</v>
      </c>
      <c r="AT186" s="2">
        <v>200</v>
      </c>
      <c r="AU186" s="2">
        <v>200</v>
      </c>
      <c r="AV186" s="2">
        <v>200</v>
      </c>
      <c r="AW186" s="2">
        <v>200</v>
      </c>
      <c r="AX186" s="2">
        <v>200</v>
      </c>
      <c r="AY186" s="2">
        <v>200</v>
      </c>
    </row>
    <row r="187" spans="1:61" ht="15.6" x14ac:dyDescent="0.3">
      <c r="A187" s="12" t="s">
        <v>159</v>
      </c>
      <c r="B187" s="2" t="s">
        <v>270</v>
      </c>
      <c r="C187" s="2" t="s">
        <v>207</v>
      </c>
      <c r="E187" s="2" t="s">
        <v>220</v>
      </c>
      <c r="G187" s="5"/>
      <c r="H187" s="17">
        <v>46069</v>
      </c>
      <c r="I187" s="18"/>
      <c r="K187" s="2">
        <v>12000</v>
      </c>
      <c r="L187" s="3">
        <f t="shared" si="20"/>
        <v>5000</v>
      </c>
      <c r="M187" s="20"/>
      <c r="O187" s="6" t="str">
        <f t="shared" si="21"/>
        <v>Open</v>
      </c>
      <c r="P187" s="3">
        <f t="shared" si="22"/>
        <v>25</v>
      </c>
      <c r="Q187" s="2">
        <v>200</v>
      </c>
      <c r="R187" s="2">
        <v>200</v>
      </c>
      <c r="S187" s="2">
        <v>200</v>
      </c>
      <c r="T187" s="2">
        <v>200</v>
      </c>
      <c r="U187" s="2">
        <v>200</v>
      </c>
      <c r="V187" s="2">
        <v>200</v>
      </c>
      <c r="W187" s="2">
        <v>200</v>
      </c>
      <c r="X187" s="2">
        <v>200</v>
      </c>
      <c r="Y187" s="2">
        <v>200</v>
      </c>
      <c r="Z187" s="2">
        <v>200</v>
      </c>
      <c r="AA187" s="2">
        <v>200</v>
      </c>
      <c r="AB187" s="2">
        <v>200</v>
      </c>
      <c r="AC187" s="2">
        <v>200</v>
      </c>
      <c r="AD187" s="2">
        <v>200</v>
      </c>
      <c r="AE187" s="2">
        <v>200</v>
      </c>
      <c r="AF187" s="2">
        <v>200</v>
      </c>
      <c r="AG187" s="2">
        <v>200</v>
      </c>
      <c r="AH187" s="2">
        <v>200</v>
      </c>
      <c r="AI187" s="2">
        <v>200</v>
      </c>
      <c r="AJ187" s="2">
        <v>200</v>
      </c>
      <c r="AK187" s="2">
        <v>200</v>
      </c>
      <c r="AL187" s="2">
        <v>200</v>
      </c>
      <c r="AM187" s="2">
        <v>200</v>
      </c>
      <c r="AN187" s="2">
        <v>200</v>
      </c>
      <c r="AO187" s="2">
        <v>200</v>
      </c>
      <c r="AP187" s="2">
        <v>200</v>
      </c>
      <c r="AQ187" s="2">
        <v>200</v>
      </c>
      <c r="AR187" s="2">
        <v>200</v>
      </c>
      <c r="AS187" s="2">
        <v>200</v>
      </c>
      <c r="AT187" s="2">
        <v>200</v>
      </c>
      <c r="AU187" s="2">
        <v>200</v>
      </c>
      <c r="AV187" s="2">
        <v>200</v>
      </c>
      <c r="AW187" s="2">
        <v>200</v>
      </c>
      <c r="AX187" s="2">
        <v>200</v>
      </c>
      <c r="AY187" s="2">
        <v>200</v>
      </c>
    </row>
    <row r="188" spans="1:61" ht="15.6" x14ac:dyDescent="0.3">
      <c r="A188" s="12" t="s">
        <v>159</v>
      </c>
      <c r="B188" s="2" t="s">
        <v>270</v>
      </c>
      <c r="C188" s="2" t="s">
        <v>207</v>
      </c>
      <c r="E188" s="2" t="s">
        <v>221</v>
      </c>
      <c r="G188" s="5"/>
      <c r="H188" s="17">
        <v>46069</v>
      </c>
      <c r="I188" s="18"/>
      <c r="K188" s="2">
        <v>18000</v>
      </c>
      <c r="L188" s="3">
        <f t="shared" si="20"/>
        <v>7500</v>
      </c>
      <c r="M188" s="20"/>
      <c r="O188" s="6" t="str">
        <f t="shared" si="21"/>
        <v>Open</v>
      </c>
      <c r="P188" s="3">
        <f t="shared" si="22"/>
        <v>25</v>
      </c>
      <c r="Q188" s="2">
        <v>300</v>
      </c>
      <c r="R188" s="2">
        <v>300</v>
      </c>
      <c r="S188" s="2">
        <v>300</v>
      </c>
      <c r="T188" s="2">
        <v>300</v>
      </c>
      <c r="U188" s="2">
        <v>300</v>
      </c>
      <c r="V188" s="2">
        <v>300</v>
      </c>
      <c r="W188" s="2">
        <v>300</v>
      </c>
      <c r="X188" s="2">
        <v>300</v>
      </c>
      <c r="Y188" s="2">
        <v>300</v>
      </c>
      <c r="Z188" s="2">
        <v>300</v>
      </c>
      <c r="AA188" s="2">
        <v>300</v>
      </c>
      <c r="AB188" s="2">
        <v>300</v>
      </c>
      <c r="AC188" s="2">
        <v>300</v>
      </c>
      <c r="AD188" s="2">
        <v>300</v>
      </c>
      <c r="AE188" s="2">
        <v>300</v>
      </c>
      <c r="AF188" s="2">
        <v>300</v>
      </c>
      <c r="AG188" s="2">
        <v>300</v>
      </c>
      <c r="AH188" s="2">
        <v>300</v>
      </c>
      <c r="AI188" s="2">
        <v>300</v>
      </c>
      <c r="AJ188" s="2">
        <v>300</v>
      </c>
      <c r="AK188" s="2">
        <v>300</v>
      </c>
      <c r="AL188" s="2">
        <v>300</v>
      </c>
      <c r="AM188" s="2">
        <v>300</v>
      </c>
      <c r="AN188" s="2">
        <v>300</v>
      </c>
      <c r="AO188" s="2">
        <v>300</v>
      </c>
      <c r="AP188" s="2">
        <v>300</v>
      </c>
      <c r="AQ188" s="2">
        <v>300</v>
      </c>
      <c r="AR188" s="2">
        <v>300</v>
      </c>
      <c r="AS188" s="2">
        <v>300</v>
      </c>
      <c r="AT188" s="2">
        <v>300</v>
      </c>
      <c r="AU188" s="2">
        <v>300</v>
      </c>
      <c r="AV188" s="2">
        <v>300</v>
      </c>
      <c r="AW188" s="2">
        <v>300</v>
      </c>
      <c r="AX188" s="2">
        <v>300</v>
      </c>
      <c r="AY188" s="2">
        <v>300</v>
      </c>
    </row>
    <row r="189" spans="1:61" ht="15.6" x14ac:dyDescent="0.3">
      <c r="A189" s="12" t="s">
        <v>159</v>
      </c>
      <c r="B189" s="2" t="s">
        <v>270</v>
      </c>
      <c r="C189" s="2" t="s">
        <v>207</v>
      </c>
      <c r="E189" s="2" t="s">
        <v>210</v>
      </c>
      <c r="G189" s="5"/>
      <c r="H189" s="17">
        <v>46069</v>
      </c>
      <c r="I189" s="18"/>
      <c r="K189" s="2">
        <v>6000</v>
      </c>
      <c r="L189" s="3">
        <f t="shared" si="20"/>
        <v>5800</v>
      </c>
      <c r="M189" s="20"/>
      <c r="O189" s="6" t="str">
        <f t="shared" si="21"/>
        <v>Open</v>
      </c>
      <c r="P189" s="3">
        <f t="shared" si="22"/>
        <v>58</v>
      </c>
      <c r="Q189" s="2">
        <v>100</v>
      </c>
      <c r="R189" s="2">
        <v>100</v>
      </c>
    </row>
    <row r="190" spans="1:61" ht="15.6" x14ac:dyDescent="0.3">
      <c r="A190" s="12" t="s">
        <v>159</v>
      </c>
      <c r="B190" s="2" t="s">
        <v>270</v>
      </c>
      <c r="C190" s="2" t="s">
        <v>207</v>
      </c>
      <c r="E190" s="2" t="s">
        <v>222</v>
      </c>
      <c r="G190" s="5"/>
      <c r="H190" s="17">
        <v>46069</v>
      </c>
      <c r="I190" s="18"/>
      <c r="K190" s="2">
        <v>6000</v>
      </c>
      <c r="L190" s="3">
        <f t="shared" si="20"/>
        <v>5900</v>
      </c>
      <c r="M190" s="20"/>
      <c r="O190" s="6" t="str">
        <f t="shared" si="21"/>
        <v>Open</v>
      </c>
      <c r="P190" s="3">
        <f t="shared" si="22"/>
        <v>59</v>
      </c>
      <c r="Q190" s="2">
        <v>100</v>
      </c>
    </row>
    <row r="191" spans="1:61" ht="15.6" x14ac:dyDescent="0.3">
      <c r="A191" s="12" t="s">
        <v>159</v>
      </c>
      <c r="B191" s="2" t="s">
        <v>270</v>
      </c>
      <c r="C191" s="2" t="s">
        <v>207</v>
      </c>
      <c r="E191" s="2" t="s">
        <v>223</v>
      </c>
      <c r="G191" s="5"/>
      <c r="H191" s="17">
        <v>46069</v>
      </c>
      <c r="I191" s="18"/>
      <c r="K191" s="2">
        <v>12000</v>
      </c>
      <c r="L191" s="3">
        <f t="shared" si="20"/>
        <v>5600</v>
      </c>
      <c r="M191" s="20"/>
      <c r="O191" s="6" t="str">
        <f t="shared" si="21"/>
        <v>Open</v>
      </c>
      <c r="P191" s="3">
        <f t="shared" si="22"/>
        <v>28</v>
      </c>
      <c r="Q191" s="2">
        <v>200</v>
      </c>
      <c r="R191" s="2">
        <v>200</v>
      </c>
      <c r="S191" s="2">
        <v>200</v>
      </c>
      <c r="T191" s="2">
        <v>200</v>
      </c>
      <c r="U191" s="2">
        <v>200</v>
      </c>
      <c r="V191" s="2">
        <v>200</v>
      </c>
      <c r="W191" s="2">
        <v>200</v>
      </c>
      <c r="X191" s="2">
        <v>200</v>
      </c>
      <c r="Y191" s="2">
        <v>200</v>
      </c>
      <c r="Z191" s="2">
        <v>200</v>
      </c>
      <c r="AA191" s="2">
        <v>200</v>
      </c>
      <c r="AB191" s="2">
        <v>200</v>
      </c>
      <c r="AC191" s="2">
        <v>200</v>
      </c>
      <c r="AD191" s="2">
        <v>200</v>
      </c>
      <c r="AE191" s="2">
        <v>200</v>
      </c>
      <c r="AF191" s="2">
        <v>200</v>
      </c>
      <c r="AG191" s="2">
        <v>200</v>
      </c>
      <c r="AH191" s="2">
        <v>200</v>
      </c>
      <c r="AI191" s="2">
        <v>200</v>
      </c>
      <c r="AJ191" s="2">
        <v>200</v>
      </c>
      <c r="AK191" s="2">
        <v>200</v>
      </c>
      <c r="AL191" s="2">
        <v>200</v>
      </c>
      <c r="AM191" s="2">
        <v>200</v>
      </c>
      <c r="AN191" s="2">
        <v>200</v>
      </c>
      <c r="AO191" s="2">
        <v>200</v>
      </c>
      <c r="AP191" s="2">
        <v>200</v>
      </c>
      <c r="AQ191" s="2">
        <v>200</v>
      </c>
      <c r="AR191" s="2">
        <v>200</v>
      </c>
      <c r="AS191" s="2">
        <v>200</v>
      </c>
      <c r="AT191" s="2">
        <v>200</v>
      </c>
      <c r="AU191" s="2">
        <v>200</v>
      </c>
      <c r="AV191" s="2">
        <v>200</v>
      </c>
    </row>
    <row r="192" spans="1:61" ht="15.6" x14ac:dyDescent="0.3">
      <c r="A192" s="12" t="s">
        <v>159</v>
      </c>
      <c r="B192" s="2" t="s">
        <v>270</v>
      </c>
      <c r="C192" s="2" t="s">
        <v>207</v>
      </c>
      <c r="E192" s="2" t="s">
        <v>224</v>
      </c>
      <c r="G192" s="5"/>
      <c r="H192" s="17">
        <v>46069</v>
      </c>
      <c r="I192" s="18"/>
      <c r="K192" s="2">
        <v>6000</v>
      </c>
      <c r="L192" s="3">
        <f t="shared" si="20"/>
        <v>3200</v>
      </c>
      <c r="M192" s="20"/>
      <c r="O192" s="6" t="str">
        <f t="shared" si="21"/>
        <v>Open</v>
      </c>
      <c r="P192" s="3">
        <f t="shared" si="22"/>
        <v>32</v>
      </c>
      <c r="Q192" s="2">
        <v>100</v>
      </c>
      <c r="R192" s="2">
        <v>100</v>
      </c>
      <c r="S192" s="2">
        <v>100</v>
      </c>
      <c r="T192" s="2">
        <v>100</v>
      </c>
      <c r="U192" s="2">
        <v>100</v>
      </c>
      <c r="V192" s="2">
        <v>100</v>
      </c>
      <c r="W192" s="2">
        <v>100</v>
      </c>
      <c r="X192" s="2">
        <v>100</v>
      </c>
      <c r="Y192" s="2">
        <v>100</v>
      </c>
      <c r="Z192" s="2">
        <v>100</v>
      </c>
      <c r="AA192" s="2">
        <v>100</v>
      </c>
      <c r="AB192" s="2">
        <v>100</v>
      </c>
      <c r="AC192" s="2">
        <v>100</v>
      </c>
      <c r="AD192" s="2">
        <v>100</v>
      </c>
      <c r="AE192" s="2">
        <v>100</v>
      </c>
      <c r="AF192" s="2">
        <v>100</v>
      </c>
      <c r="AG192" s="2">
        <v>100</v>
      </c>
      <c r="AH192" s="2">
        <v>100</v>
      </c>
      <c r="AI192" s="2">
        <v>100</v>
      </c>
      <c r="AJ192" s="2">
        <v>100</v>
      </c>
      <c r="AK192" s="2">
        <v>100</v>
      </c>
      <c r="AL192" s="2">
        <v>100</v>
      </c>
      <c r="AM192" s="2">
        <v>100</v>
      </c>
      <c r="AN192" s="2">
        <v>100</v>
      </c>
      <c r="AO192" s="2">
        <v>100</v>
      </c>
      <c r="AP192" s="2">
        <v>100</v>
      </c>
      <c r="AQ192" s="2">
        <v>100</v>
      </c>
      <c r="AR192" s="2">
        <v>100</v>
      </c>
    </row>
    <row r="193" spans="1:44" ht="15.6" x14ac:dyDescent="0.3">
      <c r="A193" s="12" t="s">
        <v>159</v>
      </c>
      <c r="B193" s="2" t="s">
        <v>270</v>
      </c>
      <c r="C193" s="2" t="s">
        <v>207</v>
      </c>
      <c r="E193" s="2" t="s">
        <v>225</v>
      </c>
      <c r="G193" s="5"/>
      <c r="H193" s="17">
        <v>46069</v>
      </c>
      <c r="I193" s="18"/>
      <c r="K193" s="2">
        <v>12000</v>
      </c>
      <c r="L193" s="3">
        <f t="shared" si="20"/>
        <v>6800</v>
      </c>
      <c r="M193" s="20"/>
      <c r="O193" s="6" t="str">
        <f t="shared" si="21"/>
        <v>Open</v>
      </c>
      <c r="P193" s="3">
        <f t="shared" si="22"/>
        <v>34</v>
      </c>
      <c r="Q193" s="2">
        <v>200</v>
      </c>
      <c r="R193" s="2">
        <v>200</v>
      </c>
      <c r="S193" s="2">
        <v>200</v>
      </c>
      <c r="T193" s="2">
        <v>200</v>
      </c>
      <c r="U193" s="2">
        <v>200</v>
      </c>
      <c r="V193" s="2">
        <v>200</v>
      </c>
      <c r="W193" s="2">
        <v>200</v>
      </c>
      <c r="X193" s="2">
        <v>200</v>
      </c>
      <c r="Y193" s="2">
        <v>200</v>
      </c>
      <c r="Z193" s="2">
        <v>200</v>
      </c>
      <c r="AA193" s="2">
        <v>200</v>
      </c>
      <c r="AB193" s="2">
        <v>200</v>
      </c>
      <c r="AC193" s="2">
        <v>200</v>
      </c>
      <c r="AD193" s="2">
        <v>200</v>
      </c>
      <c r="AE193" s="2">
        <v>200</v>
      </c>
      <c r="AF193" s="2">
        <v>200</v>
      </c>
      <c r="AG193" s="2">
        <v>200</v>
      </c>
      <c r="AH193" s="2">
        <v>200</v>
      </c>
      <c r="AI193" s="2">
        <v>200</v>
      </c>
      <c r="AJ193" s="2">
        <v>200</v>
      </c>
      <c r="AK193" s="2">
        <v>200</v>
      </c>
      <c r="AL193" s="2">
        <v>200</v>
      </c>
      <c r="AM193" s="2">
        <v>200</v>
      </c>
      <c r="AN193" s="2">
        <v>200</v>
      </c>
      <c r="AO193" s="2">
        <v>200</v>
      </c>
      <c r="AP193" s="2">
        <v>200</v>
      </c>
    </row>
    <row r="194" spans="1:44" ht="15.6" x14ac:dyDescent="0.3">
      <c r="A194" s="12" t="s">
        <v>159</v>
      </c>
      <c r="B194" s="2" t="s">
        <v>270</v>
      </c>
      <c r="C194" s="2" t="s">
        <v>207</v>
      </c>
      <c r="E194" s="2" t="s">
        <v>226</v>
      </c>
      <c r="G194" s="5"/>
      <c r="H194" s="17">
        <v>46069</v>
      </c>
      <c r="I194" s="18"/>
      <c r="K194" s="2">
        <v>3000</v>
      </c>
      <c r="L194" s="3">
        <f t="shared" ref="L194:L257" si="23">K194-SUM(Q194:BX194)</f>
        <v>1700</v>
      </c>
      <c r="M194" s="20"/>
      <c r="O194" s="6" t="str">
        <f t="shared" ref="O194:O257" si="24">IF(COUNTA(P194:BW194)=COLUMNS(P194:BW194),"Closed","Open")</f>
        <v>Open</v>
      </c>
      <c r="P194" s="3">
        <f t="shared" ref="P194:P257" si="25">60-COUNT(Q194:BX194)</f>
        <v>34</v>
      </c>
      <c r="Q194" s="2">
        <v>50</v>
      </c>
      <c r="R194" s="2">
        <v>50</v>
      </c>
      <c r="S194" s="2">
        <v>50</v>
      </c>
      <c r="T194" s="2">
        <v>50</v>
      </c>
      <c r="U194" s="2">
        <v>50</v>
      </c>
      <c r="V194" s="2">
        <v>50</v>
      </c>
      <c r="W194" s="2">
        <v>50</v>
      </c>
      <c r="X194" s="2">
        <v>50</v>
      </c>
      <c r="Y194" s="2">
        <v>50</v>
      </c>
      <c r="Z194" s="2">
        <v>50</v>
      </c>
      <c r="AA194" s="2">
        <v>50</v>
      </c>
      <c r="AB194" s="2">
        <v>50</v>
      </c>
      <c r="AC194" s="2">
        <v>50</v>
      </c>
      <c r="AD194" s="2">
        <v>50</v>
      </c>
      <c r="AE194" s="2">
        <v>50</v>
      </c>
      <c r="AF194" s="2">
        <v>50</v>
      </c>
      <c r="AG194" s="2">
        <v>50</v>
      </c>
      <c r="AH194" s="2">
        <v>50</v>
      </c>
      <c r="AI194" s="2">
        <v>50</v>
      </c>
      <c r="AJ194" s="2">
        <v>50</v>
      </c>
      <c r="AK194" s="2">
        <v>50</v>
      </c>
      <c r="AL194" s="2">
        <v>50</v>
      </c>
      <c r="AM194" s="2">
        <v>50</v>
      </c>
      <c r="AN194" s="2">
        <v>50</v>
      </c>
      <c r="AO194" s="2">
        <v>50</v>
      </c>
      <c r="AP194" s="2">
        <v>50</v>
      </c>
    </row>
    <row r="195" spans="1:44" ht="15.6" x14ac:dyDescent="0.3">
      <c r="A195" s="12" t="s">
        <v>159</v>
      </c>
      <c r="B195" s="2" t="s">
        <v>270</v>
      </c>
      <c r="C195" s="2" t="s">
        <v>207</v>
      </c>
      <c r="E195" s="2" t="s">
        <v>227</v>
      </c>
      <c r="G195" s="5"/>
      <c r="H195" s="17">
        <v>46069</v>
      </c>
      <c r="I195" s="18"/>
      <c r="K195" s="2">
        <v>9000</v>
      </c>
      <c r="L195" s="3">
        <f t="shared" si="23"/>
        <v>4800</v>
      </c>
      <c r="M195" s="20"/>
      <c r="O195" s="6" t="str">
        <f t="shared" si="24"/>
        <v>Open</v>
      </c>
      <c r="P195" s="3">
        <f t="shared" si="25"/>
        <v>32</v>
      </c>
      <c r="Q195" s="2">
        <v>150</v>
      </c>
      <c r="R195" s="2">
        <v>150</v>
      </c>
      <c r="S195" s="2">
        <v>150</v>
      </c>
      <c r="T195" s="2">
        <v>150</v>
      </c>
      <c r="U195" s="2">
        <v>150</v>
      </c>
      <c r="V195" s="2">
        <v>150</v>
      </c>
      <c r="W195" s="2">
        <v>150</v>
      </c>
      <c r="X195" s="2">
        <v>150</v>
      </c>
      <c r="Y195" s="2">
        <v>150</v>
      </c>
      <c r="Z195" s="2">
        <v>150</v>
      </c>
      <c r="AA195" s="2">
        <v>150</v>
      </c>
      <c r="AB195" s="2">
        <v>150</v>
      </c>
      <c r="AC195" s="2">
        <v>150</v>
      </c>
      <c r="AD195" s="2">
        <v>150</v>
      </c>
      <c r="AE195" s="2">
        <v>150</v>
      </c>
      <c r="AF195" s="2">
        <v>150</v>
      </c>
      <c r="AG195" s="2">
        <v>150</v>
      </c>
      <c r="AH195" s="2">
        <v>150</v>
      </c>
      <c r="AI195" s="2">
        <v>150</v>
      </c>
      <c r="AJ195" s="2">
        <v>150</v>
      </c>
      <c r="AK195" s="2">
        <v>150</v>
      </c>
      <c r="AL195" s="2">
        <v>150</v>
      </c>
      <c r="AM195" s="2">
        <v>150</v>
      </c>
      <c r="AN195" s="2">
        <v>150</v>
      </c>
      <c r="AO195" s="2">
        <v>150</v>
      </c>
      <c r="AP195" s="2">
        <v>150</v>
      </c>
      <c r="AQ195" s="2">
        <v>150</v>
      </c>
      <c r="AR195" s="2">
        <v>150</v>
      </c>
    </row>
    <row r="196" spans="1:44" ht="15.6" x14ac:dyDescent="0.3">
      <c r="A196" s="12" t="s">
        <v>159</v>
      </c>
      <c r="B196" s="2" t="s">
        <v>270</v>
      </c>
      <c r="C196" s="2" t="s">
        <v>207</v>
      </c>
      <c r="E196" s="2" t="s">
        <v>228</v>
      </c>
      <c r="G196" s="5"/>
      <c r="H196" s="17">
        <v>46069</v>
      </c>
      <c r="I196" s="18"/>
      <c r="K196" s="2">
        <v>18000</v>
      </c>
      <c r="L196" s="3">
        <f t="shared" si="23"/>
        <v>10800</v>
      </c>
      <c r="M196" s="20"/>
      <c r="O196" s="6" t="str">
        <f t="shared" si="24"/>
        <v>Open</v>
      </c>
      <c r="P196" s="3">
        <f t="shared" si="25"/>
        <v>36</v>
      </c>
      <c r="Q196" s="2">
        <v>300</v>
      </c>
      <c r="R196" s="2">
        <v>300</v>
      </c>
      <c r="S196" s="2">
        <v>300</v>
      </c>
      <c r="T196" s="2">
        <v>300</v>
      </c>
      <c r="U196" s="2">
        <v>300</v>
      </c>
      <c r="V196" s="2">
        <v>300</v>
      </c>
      <c r="W196" s="2">
        <v>300</v>
      </c>
      <c r="X196" s="2">
        <v>300</v>
      </c>
      <c r="Y196" s="2">
        <v>300</v>
      </c>
      <c r="Z196" s="2">
        <v>300</v>
      </c>
      <c r="AA196" s="2">
        <v>300</v>
      </c>
      <c r="AB196" s="2">
        <v>300</v>
      </c>
      <c r="AC196" s="2">
        <v>300</v>
      </c>
      <c r="AD196" s="2">
        <v>300</v>
      </c>
      <c r="AE196" s="2">
        <v>300</v>
      </c>
      <c r="AF196" s="2">
        <v>300</v>
      </c>
      <c r="AG196" s="2">
        <v>300</v>
      </c>
      <c r="AH196" s="2">
        <v>300</v>
      </c>
      <c r="AI196" s="2">
        <v>300</v>
      </c>
      <c r="AJ196" s="2">
        <v>300</v>
      </c>
      <c r="AK196" s="2">
        <v>300</v>
      </c>
      <c r="AL196" s="2">
        <v>300</v>
      </c>
      <c r="AM196" s="2">
        <v>300</v>
      </c>
      <c r="AN196" s="2">
        <v>300</v>
      </c>
    </row>
    <row r="197" spans="1:44" ht="15.6" x14ac:dyDescent="0.3">
      <c r="A197" s="12" t="s">
        <v>159</v>
      </c>
      <c r="B197" s="2" t="s">
        <v>270</v>
      </c>
      <c r="C197" s="2" t="s">
        <v>207</v>
      </c>
      <c r="E197" s="2" t="s">
        <v>95</v>
      </c>
      <c r="G197" s="5"/>
      <c r="H197" s="17">
        <v>46069</v>
      </c>
      <c r="I197" s="18"/>
      <c r="K197" s="2">
        <v>12000</v>
      </c>
      <c r="L197" s="3">
        <f t="shared" si="23"/>
        <v>7400</v>
      </c>
      <c r="M197" s="20"/>
      <c r="O197" s="6" t="str">
        <f t="shared" si="24"/>
        <v>Open</v>
      </c>
      <c r="P197" s="3">
        <f t="shared" si="25"/>
        <v>37</v>
      </c>
      <c r="Q197" s="2">
        <v>200</v>
      </c>
      <c r="R197" s="2">
        <v>200</v>
      </c>
      <c r="S197" s="2">
        <v>200</v>
      </c>
      <c r="T197" s="2">
        <v>200</v>
      </c>
      <c r="U197" s="2">
        <v>200</v>
      </c>
      <c r="V197" s="2">
        <v>200</v>
      </c>
      <c r="W197" s="2">
        <v>200</v>
      </c>
      <c r="X197" s="2">
        <v>200</v>
      </c>
      <c r="Y197" s="2">
        <v>200</v>
      </c>
      <c r="Z197" s="2">
        <v>200</v>
      </c>
      <c r="AA197" s="2">
        <v>200</v>
      </c>
      <c r="AB197" s="2">
        <v>200</v>
      </c>
      <c r="AC197" s="2">
        <v>200</v>
      </c>
      <c r="AD197" s="2">
        <v>200</v>
      </c>
      <c r="AE197" s="2">
        <v>200</v>
      </c>
      <c r="AF197" s="2">
        <v>200</v>
      </c>
      <c r="AG197" s="2">
        <v>200</v>
      </c>
      <c r="AH197" s="2">
        <v>200</v>
      </c>
      <c r="AI197" s="2">
        <v>200</v>
      </c>
      <c r="AJ197" s="2">
        <v>200</v>
      </c>
      <c r="AK197" s="2">
        <v>200</v>
      </c>
      <c r="AL197" s="2">
        <v>200</v>
      </c>
      <c r="AM197" s="2">
        <v>200</v>
      </c>
    </row>
    <row r="198" spans="1:44" ht="15.6" x14ac:dyDescent="0.3">
      <c r="A198" s="12" t="s">
        <v>159</v>
      </c>
      <c r="B198" s="2" t="s">
        <v>270</v>
      </c>
      <c r="C198" s="2" t="s">
        <v>207</v>
      </c>
      <c r="E198" s="2" t="s">
        <v>137</v>
      </c>
      <c r="G198" s="5"/>
      <c r="H198" s="17">
        <v>46069</v>
      </c>
      <c r="I198" s="18"/>
      <c r="K198" s="2">
        <v>24000</v>
      </c>
      <c r="L198" s="3">
        <f t="shared" si="23"/>
        <v>20000</v>
      </c>
      <c r="M198" s="20"/>
      <c r="O198" s="6" t="str">
        <f t="shared" si="24"/>
        <v>Open</v>
      </c>
      <c r="P198" s="3">
        <f t="shared" si="25"/>
        <v>50</v>
      </c>
      <c r="Q198" s="2">
        <v>400</v>
      </c>
      <c r="R198" s="2">
        <v>400</v>
      </c>
      <c r="S198" s="2">
        <v>400</v>
      </c>
      <c r="T198" s="2">
        <v>400</v>
      </c>
      <c r="U198" s="2">
        <v>400</v>
      </c>
      <c r="V198" s="2">
        <v>400</v>
      </c>
      <c r="W198" s="2">
        <v>400</v>
      </c>
      <c r="X198" s="2">
        <v>400</v>
      </c>
      <c r="Y198" s="2">
        <v>400</v>
      </c>
      <c r="Z198" s="2">
        <v>400</v>
      </c>
    </row>
    <row r="199" spans="1:44" ht="15.6" x14ac:dyDescent="0.3">
      <c r="A199" s="12" t="s">
        <v>159</v>
      </c>
      <c r="B199" s="2" t="s">
        <v>270</v>
      </c>
      <c r="C199" s="2" t="s">
        <v>207</v>
      </c>
      <c r="E199" s="2" t="s">
        <v>229</v>
      </c>
      <c r="G199" s="5"/>
      <c r="H199" s="17">
        <v>46069</v>
      </c>
      <c r="I199" s="18"/>
      <c r="K199" s="2">
        <v>15000</v>
      </c>
      <c r="L199" s="3">
        <f t="shared" si="23"/>
        <v>13250</v>
      </c>
      <c r="M199" s="20"/>
      <c r="O199" s="6" t="str">
        <f t="shared" si="24"/>
        <v>Open</v>
      </c>
      <c r="P199" s="3">
        <f t="shared" si="25"/>
        <v>53</v>
      </c>
      <c r="Q199" s="2">
        <v>250</v>
      </c>
      <c r="R199" s="2">
        <v>250</v>
      </c>
      <c r="S199" s="2">
        <v>250</v>
      </c>
      <c r="T199" s="2">
        <v>250</v>
      </c>
      <c r="U199" s="2">
        <v>250</v>
      </c>
      <c r="V199" s="2">
        <v>250</v>
      </c>
      <c r="W199" s="2">
        <v>250</v>
      </c>
    </row>
    <row r="200" spans="1:44" ht="15.6" x14ac:dyDescent="0.3">
      <c r="A200" s="12" t="s">
        <v>159</v>
      </c>
      <c r="B200" s="2" t="s">
        <v>270</v>
      </c>
      <c r="C200" s="2" t="s">
        <v>207</v>
      </c>
      <c r="E200" s="2" t="s">
        <v>230</v>
      </c>
      <c r="G200" s="5"/>
      <c r="H200" s="17">
        <v>46069</v>
      </c>
      <c r="I200" s="18"/>
      <c r="K200" s="2">
        <v>21000</v>
      </c>
      <c r="L200" s="3">
        <f t="shared" si="23"/>
        <v>19600</v>
      </c>
      <c r="M200" s="20"/>
      <c r="O200" s="6" t="str">
        <f t="shared" si="24"/>
        <v>Open</v>
      </c>
      <c r="P200" s="3">
        <f t="shared" si="25"/>
        <v>56</v>
      </c>
      <c r="Q200" s="2">
        <v>350</v>
      </c>
      <c r="R200" s="2">
        <v>350</v>
      </c>
      <c r="S200" s="2">
        <v>350</v>
      </c>
      <c r="T200" s="2">
        <v>350</v>
      </c>
    </row>
    <row r="201" spans="1:44" ht="15.6" x14ac:dyDescent="0.3">
      <c r="A201" s="12" t="s">
        <v>159</v>
      </c>
      <c r="B201" s="2" t="s">
        <v>270</v>
      </c>
      <c r="C201" s="2" t="s">
        <v>207</v>
      </c>
      <c r="E201" s="2" t="s">
        <v>231</v>
      </c>
      <c r="G201" s="5"/>
      <c r="H201" s="17">
        <v>46069</v>
      </c>
      <c r="I201" s="18"/>
      <c r="K201" s="2">
        <v>3000</v>
      </c>
      <c r="L201" s="3">
        <f t="shared" si="23"/>
        <v>2850</v>
      </c>
      <c r="M201" s="20"/>
      <c r="O201" s="6" t="str">
        <f t="shared" si="24"/>
        <v>Open</v>
      </c>
      <c r="P201" s="3">
        <f t="shared" si="25"/>
        <v>57</v>
      </c>
      <c r="Q201" s="2">
        <v>50</v>
      </c>
      <c r="R201" s="2">
        <v>50</v>
      </c>
      <c r="S201" s="2">
        <v>50</v>
      </c>
    </row>
    <row r="202" spans="1:44" ht="15.6" x14ac:dyDescent="0.3">
      <c r="A202" s="12" t="s">
        <v>159</v>
      </c>
      <c r="B202" s="2" t="s">
        <v>270</v>
      </c>
      <c r="C202" s="2" t="s">
        <v>207</v>
      </c>
      <c r="E202" s="2" t="s">
        <v>232</v>
      </c>
      <c r="G202" s="5"/>
      <c r="H202" s="17">
        <v>46069</v>
      </c>
      <c r="I202" s="18"/>
      <c r="K202" s="2">
        <v>6000</v>
      </c>
      <c r="L202" s="3">
        <f t="shared" si="23"/>
        <v>5600</v>
      </c>
      <c r="M202" s="20"/>
      <c r="O202" s="6" t="str">
        <f t="shared" si="24"/>
        <v>Open</v>
      </c>
      <c r="P202" s="3">
        <f t="shared" si="25"/>
        <v>58</v>
      </c>
      <c r="Q202" s="2">
        <v>200</v>
      </c>
      <c r="R202" s="2">
        <v>200</v>
      </c>
    </row>
    <row r="203" spans="1:44" ht="15.6" x14ac:dyDescent="0.3">
      <c r="A203" s="12" t="s">
        <v>159</v>
      </c>
      <c r="B203" s="2" t="s">
        <v>270</v>
      </c>
      <c r="C203" s="2" t="s">
        <v>207</v>
      </c>
      <c r="E203" s="2" t="s">
        <v>233</v>
      </c>
      <c r="G203" s="5"/>
      <c r="H203" s="17">
        <v>46069</v>
      </c>
      <c r="I203" s="18"/>
      <c r="K203" s="2">
        <v>18000</v>
      </c>
      <c r="L203" s="3">
        <f t="shared" si="23"/>
        <v>17700</v>
      </c>
      <c r="M203" s="20"/>
      <c r="O203" s="6" t="str">
        <f t="shared" si="24"/>
        <v>Open</v>
      </c>
      <c r="P203" s="3">
        <f t="shared" si="25"/>
        <v>59</v>
      </c>
      <c r="Q203" s="2">
        <v>300</v>
      </c>
    </row>
    <row r="204" spans="1:44" ht="15.6" x14ac:dyDescent="0.3">
      <c r="A204" s="12" t="s">
        <v>159</v>
      </c>
      <c r="B204" s="2" t="s">
        <v>270</v>
      </c>
      <c r="C204" s="2" t="s">
        <v>207</v>
      </c>
      <c r="E204" s="2" t="s">
        <v>168</v>
      </c>
      <c r="G204" s="5"/>
      <c r="H204" s="17">
        <v>46069</v>
      </c>
      <c r="I204" s="18"/>
      <c r="K204" s="2">
        <v>6000</v>
      </c>
      <c r="L204" s="3">
        <f t="shared" si="23"/>
        <v>3800</v>
      </c>
      <c r="M204" s="20"/>
      <c r="O204" s="6" t="str">
        <f t="shared" si="24"/>
        <v>Open</v>
      </c>
      <c r="P204" s="3">
        <f t="shared" si="25"/>
        <v>38</v>
      </c>
      <c r="Q204" s="2">
        <v>100</v>
      </c>
      <c r="R204" s="2">
        <v>100</v>
      </c>
      <c r="S204" s="2">
        <v>100</v>
      </c>
      <c r="T204" s="2">
        <v>100</v>
      </c>
      <c r="U204" s="2">
        <v>100</v>
      </c>
      <c r="V204" s="2">
        <v>100</v>
      </c>
      <c r="W204" s="2">
        <v>100</v>
      </c>
      <c r="X204" s="2">
        <v>100</v>
      </c>
      <c r="Y204" s="2">
        <v>100</v>
      </c>
      <c r="Z204" s="2">
        <v>100</v>
      </c>
      <c r="AA204" s="2">
        <v>100</v>
      </c>
      <c r="AB204" s="2">
        <v>100</v>
      </c>
      <c r="AC204" s="2">
        <v>100</v>
      </c>
      <c r="AD204" s="2">
        <v>100</v>
      </c>
      <c r="AE204" s="2">
        <v>100</v>
      </c>
      <c r="AF204" s="2">
        <v>100</v>
      </c>
      <c r="AG204" s="2">
        <v>100</v>
      </c>
      <c r="AH204" s="2">
        <v>100</v>
      </c>
      <c r="AI204" s="2">
        <v>100</v>
      </c>
      <c r="AJ204" s="2">
        <v>100</v>
      </c>
      <c r="AK204" s="2">
        <v>100</v>
      </c>
      <c r="AL204" s="2">
        <v>100</v>
      </c>
    </row>
    <row r="205" spans="1:44" ht="15.6" x14ac:dyDescent="0.3">
      <c r="A205" s="12" t="s">
        <v>159</v>
      </c>
      <c r="B205" s="2" t="s">
        <v>270</v>
      </c>
      <c r="C205" s="2" t="s">
        <v>207</v>
      </c>
      <c r="E205" s="2" t="s">
        <v>96</v>
      </c>
      <c r="G205" s="5"/>
      <c r="H205" s="17">
        <v>46069</v>
      </c>
      <c r="I205" s="18"/>
      <c r="K205" s="2">
        <v>12000</v>
      </c>
      <c r="L205" s="3">
        <f t="shared" si="23"/>
        <v>10400</v>
      </c>
      <c r="M205" s="20"/>
      <c r="O205" s="6" t="str">
        <f t="shared" si="24"/>
        <v>Open</v>
      </c>
      <c r="P205" s="3">
        <f t="shared" si="25"/>
        <v>52</v>
      </c>
      <c r="Q205" s="2">
        <v>200</v>
      </c>
      <c r="R205" s="2">
        <v>200</v>
      </c>
      <c r="S205" s="2">
        <v>200</v>
      </c>
      <c r="T205" s="2">
        <v>200</v>
      </c>
      <c r="U205" s="2">
        <v>200</v>
      </c>
      <c r="V205" s="2">
        <v>200</v>
      </c>
      <c r="W205" s="2">
        <v>200</v>
      </c>
      <c r="X205" s="2">
        <v>200</v>
      </c>
    </row>
    <row r="206" spans="1:44" ht="15.6" x14ac:dyDescent="0.3">
      <c r="A206" s="12" t="s">
        <v>159</v>
      </c>
      <c r="B206" s="2" t="s">
        <v>270</v>
      </c>
      <c r="C206" s="2" t="s">
        <v>207</v>
      </c>
      <c r="E206" s="2" t="s">
        <v>234</v>
      </c>
      <c r="G206" s="5"/>
      <c r="H206" s="17">
        <v>46069</v>
      </c>
      <c r="I206" s="18"/>
      <c r="K206" s="2">
        <v>6000</v>
      </c>
      <c r="L206" s="3">
        <f t="shared" si="23"/>
        <v>3600</v>
      </c>
      <c r="M206" s="20"/>
      <c r="O206" s="6" t="str">
        <f t="shared" si="24"/>
        <v>Open</v>
      </c>
      <c r="P206" s="3">
        <f t="shared" si="25"/>
        <v>36</v>
      </c>
      <c r="Q206" s="2">
        <v>100</v>
      </c>
      <c r="R206" s="2">
        <v>100</v>
      </c>
      <c r="S206" s="2">
        <v>100</v>
      </c>
      <c r="T206" s="2">
        <v>100</v>
      </c>
      <c r="U206" s="2">
        <v>100</v>
      </c>
      <c r="V206" s="2">
        <v>100</v>
      </c>
      <c r="W206" s="2">
        <v>100</v>
      </c>
      <c r="X206" s="2">
        <v>100</v>
      </c>
      <c r="Y206" s="2">
        <v>100</v>
      </c>
      <c r="Z206" s="2">
        <v>100</v>
      </c>
      <c r="AA206" s="2">
        <v>100</v>
      </c>
      <c r="AB206" s="2">
        <v>100</v>
      </c>
      <c r="AC206" s="2">
        <v>100</v>
      </c>
      <c r="AD206" s="2">
        <v>100</v>
      </c>
      <c r="AE206" s="2">
        <v>100</v>
      </c>
      <c r="AF206" s="2">
        <v>100</v>
      </c>
      <c r="AG206" s="2">
        <v>100</v>
      </c>
      <c r="AH206" s="2">
        <v>100</v>
      </c>
      <c r="AI206" s="2">
        <v>100</v>
      </c>
      <c r="AJ206" s="2">
        <v>100</v>
      </c>
      <c r="AK206" s="2">
        <v>100</v>
      </c>
      <c r="AL206" s="2">
        <v>100</v>
      </c>
      <c r="AM206" s="2">
        <v>100</v>
      </c>
      <c r="AN206" s="2">
        <v>100</v>
      </c>
    </row>
    <row r="207" spans="1:44" ht="15.6" x14ac:dyDescent="0.3">
      <c r="A207" s="12" t="s">
        <v>159</v>
      </c>
      <c r="B207" s="2" t="s">
        <v>270</v>
      </c>
      <c r="C207" s="2" t="s">
        <v>207</v>
      </c>
      <c r="E207" s="2" t="s">
        <v>235</v>
      </c>
      <c r="G207" s="5"/>
      <c r="H207" s="17">
        <v>46069</v>
      </c>
      <c r="I207" s="18"/>
      <c r="K207" s="2">
        <v>12000</v>
      </c>
      <c r="L207" s="3">
        <f t="shared" si="23"/>
        <v>7400</v>
      </c>
      <c r="M207" s="20"/>
      <c r="O207" s="6" t="str">
        <f t="shared" si="24"/>
        <v>Open</v>
      </c>
      <c r="P207" s="3">
        <f t="shared" si="25"/>
        <v>37</v>
      </c>
      <c r="Q207" s="2">
        <v>200</v>
      </c>
      <c r="R207" s="2">
        <v>200</v>
      </c>
      <c r="S207" s="2">
        <v>200</v>
      </c>
      <c r="T207" s="2">
        <v>200</v>
      </c>
      <c r="U207" s="2">
        <v>200</v>
      </c>
      <c r="V207" s="2">
        <v>200</v>
      </c>
      <c r="W207" s="2">
        <v>200</v>
      </c>
      <c r="X207" s="2">
        <v>200</v>
      </c>
      <c r="Y207" s="2">
        <v>200</v>
      </c>
      <c r="Z207" s="2">
        <v>200</v>
      </c>
      <c r="AA207" s="2">
        <v>200</v>
      </c>
      <c r="AB207" s="2">
        <v>200</v>
      </c>
      <c r="AC207" s="2">
        <v>200</v>
      </c>
      <c r="AD207" s="2">
        <v>200</v>
      </c>
      <c r="AE207" s="2">
        <v>200</v>
      </c>
      <c r="AF207" s="2">
        <v>200</v>
      </c>
      <c r="AG207" s="2">
        <v>200</v>
      </c>
      <c r="AH207" s="2">
        <v>200</v>
      </c>
      <c r="AI207" s="2">
        <v>200</v>
      </c>
      <c r="AJ207" s="2">
        <v>200</v>
      </c>
      <c r="AK207" s="2">
        <v>200</v>
      </c>
      <c r="AL207" s="2">
        <v>200</v>
      </c>
      <c r="AM207" s="2">
        <v>200</v>
      </c>
    </row>
    <row r="208" spans="1:44" ht="15.6" x14ac:dyDescent="0.3">
      <c r="A208" s="12" t="s">
        <v>159</v>
      </c>
      <c r="B208" s="2" t="s">
        <v>270</v>
      </c>
      <c r="C208" s="2" t="s">
        <v>207</v>
      </c>
      <c r="E208" s="2" t="s">
        <v>236</v>
      </c>
      <c r="G208" s="5"/>
      <c r="H208" s="17">
        <v>46069</v>
      </c>
      <c r="I208" s="18"/>
      <c r="K208" s="2">
        <v>15000</v>
      </c>
      <c r="L208" s="3">
        <f t="shared" si="23"/>
        <v>9250</v>
      </c>
      <c r="M208" s="20"/>
      <c r="O208" s="6" t="str">
        <f t="shared" si="24"/>
        <v>Open</v>
      </c>
      <c r="P208" s="3">
        <f t="shared" si="25"/>
        <v>37</v>
      </c>
      <c r="Q208" s="2">
        <v>250</v>
      </c>
      <c r="R208" s="2">
        <v>250</v>
      </c>
      <c r="S208" s="2">
        <v>250</v>
      </c>
      <c r="T208" s="2">
        <v>250</v>
      </c>
      <c r="U208" s="2">
        <v>250</v>
      </c>
      <c r="V208" s="2">
        <v>250</v>
      </c>
      <c r="W208" s="2">
        <v>250</v>
      </c>
      <c r="X208" s="2">
        <v>250</v>
      </c>
      <c r="Y208" s="2">
        <v>250</v>
      </c>
      <c r="Z208" s="2">
        <v>250</v>
      </c>
      <c r="AA208" s="2">
        <v>250</v>
      </c>
      <c r="AB208" s="2">
        <v>250</v>
      </c>
      <c r="AC208" s="2">
        <v>250</v>
      </c>
      <c r="AD208" s="2">
        <v>250</v>
      </c>
      <c r="AE208" s="2">
        <v>250</v>
      </c>
      <c r="AF208" s="2">
        <v>250</v>
      </c>
      <c r="AG208" s="2">
        <v>250</v>
      </c>
      <c r="AH208" s="2">
        <v>250</v>
      </c>
      <c r="AI208" s="2">
        <v>250</v>
      </c>
      <c r="AJ208" s="2">
        <v>250</v>
      </c>
      <c r="AK208" s="2">
        <v>250</v>
      </c>
      <c r="AL208" s="2">
        <v>250</v>
      </c>
      <c r="AM208" s="2">
        <v>250</v>
      </c>
    </row>
    <row r="209" spans="1:37" ht="15.6" x14ac:dyDescent="0.3">
      <c r="A209" s="12" t="s">
        <v>159</v>
      </c>
      <c r="B209" s="2" t="s">
        <v>270</v>
      </c>
      <c r="C209" s="2" t="s">
        <v>207</v>
      </c>
      <c r="E209" s="2" t="s">
        <v>237</v>
      </c>
      <c r="G209" s="5"/>
      <c r="H209" s="17">
        <v>46069</v>
      </c>
      <c r="I209" s="18"/>
      <c r="K209" s="2">
        <v>3000</v>
      </c>
      <c r="L209" s="3">
        <f t="shared" si="23"/>
        <v>2300</v>
      </c>
      <c r="M209" s="20"/>
      <c r="O209" s="6" t="str">
        <f t="shared" si="24"/>
        <v>Open</v>
      </c>
      <c r="P209" s="3">
        <f t="shared" si="25"/>
        <v>46</v>
      </c>
      <c r="Q209" s="2">
        <v>50</v>
      </c>
      <c r="R209" s="2">
        <v>50</v>
      </c>
      <c r="S209" s="2">
        <v>50</v>
      </c>
      <c r="T209" s="2">
        <v>50</v>
      </c>
      <c r="U209" s="2">
        <v>50</v>
      </c>
      <c r="V209" s="2">
        <v>50</v>
      </c>
      <c r="W209" s="2">
        <v>50</v>
      </c>
      <c r="X209" s="2">
        <v>50</v>
      </c>
      <c r="Y209" s="2">
        <v>50</v>
      </c>
      <c r="Z209" s="2">
        <v>50</v>
      </c>
      <c r="AA209" s="2">
        <v>50</v>
      </c>
      <c r="AB209" s="2">
        <v>50</v>
      </c>
      <c r="AC209" s="2">
        <v>50</v>
      </c>
      <c r="AD209" s="2">
        <v>50</v>
      </c>
    </row>
    <row r="210" spans="1:37" ht="15.6" x14ac:dyDescent="0.3">
      <c r="A210" s="12" t="s">
        <v>159</v>
      </c>
      <c r="B210" s="2" t="s">
        <v>270</v>
      </c>
      <c r="C210" s="2" t="s">
        <v>207</v>
      </c>
      <c r="E210" s="2" t="s">
        <v>238</v>
      </c>
      <c r="G210" s="5"/>
      <c r="H210" s="17">
        <v>46069</v>
      </c>
      <c r="I210" s="18"/>
      <c r="K210" s="2">
        <v>6000</v>
      </c>
      <c r="L210" s="3">
        <f t="shared" si="23"/>
        <v>4000</v>
      </c>
      <c r="M210" s="20"/>
      <c r="O210" s="6" t="str">
        <f t="shared" si="24"/>
        <v>Open</v>
      </c>
      <c r="P210" s="3">
        <f t="shared" si="25"/>
        <v>40</v>
      </c>
      <c r="Q210" s="2">
        <v>100</v>
      </c>
      <c r="R210" s="2">
        <v>100</v>
      </c>
      <c r="S210" s="2">
        <v>100</v>
      </c>
      <c r="T210" s="2">
        <v>100</v>
      </c>
      <c r="U210" s="2">
        <v>100</v>
      </c>
      <c r="V210" s="2">
        <v>100</v>
      </c>
      <c r="W210" s="2">
        <v>100</v>
      </c>
      <c r="X210" s="2">
        <v>100</v>
      </c>
      <c r="Y210" s="2">
        <v>100</v>
      </c>
      <c r="Z210" s="2">
        <v>100</v>
      </c>
      <c r="AA210" s="2">
        <v>100</v>
      </c>
      <c r="AB210" s="2">
        <v>100</v>
      </c>
      <c r="AC210" s="2">
        <v>100</v>
      </c>
      <c r="AD210" s="2">
        <v>100</v>
      </c>
      <c r="AE210" s="2">
        <v>100</v>
      </c>
      <c r="AF210" s="2">
        <v>100</v>
      </c>
      <c r="AG210" s="2">
        <v>100</v>
      </c>
      <c r="AH210" s="2">
        <v>100</v>
      </c>
      <c r="AI210" s="2">
        <v>100</v>
      </c>
      <c r="AJ210" s="2">
        <v>100</v>
      </c>
    </row>
    <row r="211" spans="1:37" ht="15.6" x14ac:dyDescent="0.3">
      <c r="A211" s="12" t="s">
        <v>159</v>
      </c>
      <c r="B211" s="2" t="s">
        <v>270</v>
      </c>
      <c r="C211" s="2" t="s">
        <v>207</v>
      </c>
      <c r="E211" s="2" t="s">
        <v>239</v>
      </c>
      <c r="G211" s="5"/>
      <c r="H211" s="17">
        <v>46069</v>
      </c>
      <c r="I211" s="18"/>
      <c r="K211" s="2">
        <v>15000</v>
      </c>
      <c r="L211" s="3">
        <f t="shared" si="23"/>
        <v>10250</v>
      </c>
      <c r="M211" s="20"/>
      <c r="O211" s="6" t="str">
        <f t="shared" si="24"/>
        <v>Open</v>
      </c>
      <c r="P211" s="3">
        <f t="shared" si="25"/>
        <v>41</v>
      </c>
      <c r="Q211" s="2">
        <v>250</v>
      </c>
      <c r="R211" s="2">
        <v>250</v>
      </c>
      <c r="S211" s="2">
        <v>250</v>
      </c>
      <c r="T211" s="2">
        <v>250</v>
      </c>
      <c r="U211" s="2">
        <v>250</v>
      </c>
      <c r="V211" s="2">
        <v>250</v>
      </c>
      <c r="W211" s="2">
        <v>250</v>
      </c>
      <c r="X211" s="2">
        <v>250</v>
      </c>
      <c r="Y211" s="2">
        <v>250</v>
      </c>
      <c r="Z211" s="2">
        <v>250</v>
      </c>
      <c r="AA211" s="2">
        <v>250</v>
      </c>
      <c r="AB211" s="2">
        <v>250</v>
      </c>
      <c r="AC211" s="2">
        <v>250</v>
      </c>
      <c r="AD211" s="2">
        <v>250</v>
      </c>
      <c r="AE211" s="2">
        <v>250</v>
      </c>
      <c r="AF211" s="2">
        <v>250</v>
      </c>
      <c r="AG211" s="2">
        <v>250</v>
      </c>
      <c r="AH211" s="2">
        <v>250</v>
      </c>
      <c r="AI211" s="2">
        <v>250</v>
      </c>
    </row>
    <row r="212" spans="1:37" ht="15.6" x14ac:dyDescent="0.3">
      <c r="A212" s="12" t="s">
        <v>159</v>
      </c>
      <c r="B212" s="2" t="s">
        <v>270</v>
      </c>
      <c r="C212" s="2" t="s">
        <v>207</v>
      </c>
      <c r="E212" s="2" t="s">
        <v>134</v>
      </c>
      <c r="G212" s="5"/>
      <c r="H212" s="17">
        <v>46069</v>
      </c>
      <c r="I212" s="18"/>
      <c r="K212" s="2">
        <v>18000</v>
      </c>
      <c r="L212" s="3">
        <f t="shared" si="23"/>
        <v>12300</v>
      </c>
      <c r="M212" s="20"/>
      <c r="O212" s="6" t="str">
        <f t="shared" si="24"/>
        <v>Open</v>
      </c>
      <c r="P212" s="3">
        <f t="shared" si="25"/>
        <v>41</v>
      </c>
      <c r="Q212" s="2">
        <v>300</v>
      </c>
      <c r="R212" s="2">
        <v>300</v>
      </c>
      <c r="S212" s="2">
        <v>300</v>
      </c>
      <c r="T212" s="2">
        <v>300</v>
      </c>
      <c r="U212" s="2">
        <v>300</v>
      </c>
      <c r="V212" s="2">
        <v>300</v>
      </c>
      <c r="W212" s="2">
        <v>300</v>
      </c>
      <c r="X212" s="2">
        <v>300</v>
      </c>
      <c r="Y212" s="2">
        <v>300</v>
      </c>
      <c r="Z212" s="2">
        <v>300</v>
      </c>
      <c r="AA212" s="2">
        <v>300</v>
      </c>
      <c r="AB212" s="2">
        <v>300</v>
      </c>
      <c r="AC212" s="2">
        <v>300</v>
      </c>
      <c r="AD212" s="2">
        <v>300</v>
      </c>
      <c r="AE212" s="2">
        <v>300</v>
      </c>
      <c r="AF212" s="2">
        <v>300</v>
      </c>
      <c r="AG212" s="2">
        <v>300</v>
      </c>
      <c r="AH212" s="2">
        <v>300</v>
      </c>
      <c r="AI212" s="2">
        <v>300</v>
      </c>
    </row>
    <row r="213" spans="1:37" ht="15.6" x14ac:dyDescent="0.3">
      <c r="A213" s="12" t="s">
        <v>159</v>
      </c>
      <c r="B213" s="2" t="s">
        <v>270</v>
      </c>
      <c r="C213" s="2" t="s">
        <v>207</v>
      </c>
      <c r="E213" s="2" t="s">
        <v>210</v>
      </c>
      <c r="G213" s="5"/>
      <c r="H213" s="17">
        <v>46069</v>
      </c>
      <c r="I213" s="18"/>
      <c r="K213" s="2">
        <v>6000</v>
      </c>
      <c r="L213" s="3">
        <f t="shared" si="23"/>
        <v>4300</v>
      </c>
      <c r="M213" s="20"/>
      <c r="O213" s="6" t="str">
        <f t="shared" si="24"/>
        <v>Open</v>
      </c>
      <c r="P213" s="3">
        <f t="shared" si="25"/>
        <v>43</v>
      </c>
      <c r="Q213" s="2">
        <v>100</v>
      </c>
      <c r="R213" s="2">
        <v>100</v>
      </c>
      <c r="S213" s="2">
        <v>100</v>
      </c>
      <c r="T213" s="2">
        <v>100</v>
      </c>
      <c r="U213" s="2">
        <v>100</v>
      </c>
      <c r="V213" s="2">
        <v>100</v>
      </c>
      <c r="W213" s="2">
        <v>100</v>
      </c>
      <c r="X213" s="2">
        <v>100</v>
      </c>
      <c r="Y213" s="2">
        <v>100</v>
      </c>
      <c r="Z213" s="2">
        <v>100</v>
      </c>
      <c r="AA213" s="2">
        <v>100</v>
      </c>
      <c r="AB213" s="2">
        <v>100</v>
      </c>
      <c r="AC213" s="2">
        <v>100</v>
      </c>
      <c r="AD213" s="2">
        <v>100</v>
      </c>
      <c r="AE213" s="2">
        <v>100</v>
      </c>
      <c r="AF213" s="2">
        <v>100</v>
      </c>
      <c r="AG213" s="2">
        <v>100</v>
      </c>
    </row>
    <row r="214" spans="1:37" ht="15.6" x14ac:dyDescent="0.3">
      <c r="A214" s="12" t="s">
        <v>159</v>
      </c>
      <c r="B214" s="2" t="s">
        <v>270</v>
      </c>
      <c r="C214" s="2" t="s">
        <v>207</v>
      </c>
      <c r="E214" s="2" t="s">
        <v>205</v>
      </c>
      <c r="G214" s="5"/>
      <c r="H214" s="17">
        <v>46069</v>
      </c>
      <c r="I214" s="18"/>
      <c r="K214" s="2">
        <v>6000</v>
      </c>
      <c r="L214" s="3">
        <f t="shared" si="23"/>
        <v>5900</v>
      </c>
      <c r="M214" s="20"/>
      <c r="O214" s="6" t="str">
        <f t="shared" si="24"/>
        <v>Open</v>
      </c>
      <c r="P214" s="3">
        <f t="shared" si="25"/>
        <v>59</v>
      </c>
      <c r="Q214" s="2">
        <v>100</v>
      </c>
    </row>
    <row r="215" spans="1:37" ht="15.6" x14ac:dyDescent="0.3">
      <c r="A215" s="12" t="s">
        <v>159</v>
      </c>
      <c r="B215" s="2" t="s">
        <v>270</v>
      </c>
      <c r="C215" s="2" t="s">
        <v>207</v>
      </c>
      <c r="E215" s="2" t="s">
        <v>240</v>
      </c>
      <c r="G215" s="5"/>
      <c r="H215" s="17">
        <v>46069</v>
      </c>
      <c r="I215" s="18"/>
      <c r="K215" s="2">
        <v>12000</v>
      </c>
      <c r="L215" s="3">
        <f t="shared" si="23"/>
        <v>8200</v>
      </c>
      <c r="M215" s="20"/>
      <c r="O215" s="6" t="str">
        <f t="shared" si="24"/>
        <v>Open</v>
      </c>
      <c r="P215" s="3">
        <f t="shared" si="25"/>
        <v>41</v>
      </c>
      <c r="Q215" s="2">
        <v>200</v>
      </c>
      <c r="R215" s="2">
        <v>200</v>
      </c>
      <c r="S215" s="2">
        <v>200</v>
      </c>
      <c r="T215" s="2">
        <v>200</v>
      </c>
      <c r="U215" s="2">
        <v>200</v>
      </c>
      <c r="V215" s="2">
        <v>200</v>
      </c>
      <c r="W215" s="2">
        <v>200</v>
      </c>
      <c r="X215" s="2">
        <v>200</v>
      </c>
      <c r="Y215" s="2">
        <v>200</v>
      </c>
      <c r="Z215" s="2">
        <v>200</v>
      </c>
      <c r="AA215" s="2">
        <v>200</v>
      </c>
      <c r="AB215" s="2">
        <v>200</v>
      </c>
      <c r="AC215" s="2">
        <v>200</v>
      </c>
      <c r="AD215" s="2">
        <v>200</v>
      </c>
      <c r="AE215" s="2">
        <v>200</v>
      </c>
      <c r="AF215" s="2">
        <v>200</v>
      </c>
      <c r="AG215" s="2">
        <v>200</v>
      </c>
      <c r="AH215" s="2">
        <v>200</v>
      </c>
      <c r="AI215" s="2">
        <v>200</v>
      </c>
    </row>
    <row r="216" spans="1:37" ht="15.6" x14ac:dyDescent="0.3">
      <c r="A216" s="12" t="s">
        <v>159</v>
      </c>
      <c r="B216" s="2" t="s">
        <v>270</v>
      </c>
      <c r="C216" s="2" t="s">
        <v>207</v>
      </c>
      <c r="E216" s="2" t="s">
        <v>122</v>
      </c>
      <c r="G216" s="5"/>
      <c r="H216" s="17">
        <v>46069</v>
      </c>
      <c r="I216" s="18"/>
      <c r="K216" s="2">
        <v>12000</v>
      </c>
      <c r="L216" s="3">
        <f t="shared" si="23"/>
        <v>8200</v>
      </c>
      <c r="M216" s="20"/>
      <c r="O216" s="6" t="str">
        <f t="shared" si="24"/>
        <v>Open</v>
      </c>
      <c r="P216" s="3">
        <f t="shared" si="25"/>
        <v>41</v>
      </c>
      <c r="Q216" s="2">
        <v>200</v>
      </c>
      <c r="R216" s="2">
        <v>200</v>
      </c>
      <c r="S216" s="2">
        <v>200</v>
      </c>
      <c r="T216" s="2">
        <v>200</v>
      </c>
      <c r="U216" s="2">
        <v>200</v>
      </c>
      <c r="V216" s="2">
        <v>200</v>
      </c>
      <c r="W216" s="2">
        <v>200</v>
      </c>
      <c r="X216" s="2">
        <v>200</v>
      </c>
      <c r="Y216" s="2">
        <v>200</v>
      </c>
      <c r="Z216" s="2">
        <v>200</v>
      </c>
      <c r="AA216" s="2">
        <v>200</v>
      </c>
      <c r="AB216" s="2">
        <v>200</v>
      </c>
      <c r="AC216" s="2">
        <v>200</v>
      </c>
      <c r="AD216" s="2">
        <v>200</v>
      </c>
      <c r="AE216" s="2">
        <v>200</v>
      </c>
      <c r="AF216" s="2">
        <v>200</v>
      </c>
      <c r="AG216" s="2">
        <v>200</v>
      </c>
      <c r="AH216" s="2">
        <v>200</v>
      </c>
      <c r="AI216" s="2">
        <v>200</v>
      </c>
    </row>
    <row r="217" spans="1:37" ht="15.6" x14ac:dyDescent="0.3">
      <c r="A217" s="12" t="s">
        <v>159</v>
      </c>
      <c r="B217" s="2" t="s">
        <v>270</v>
      </c>
      <c r="C217" s="2" t="s">
        <v>207</v>
      </c>
      <c r="E217" s="2" t="s">
        <v>94</v>
      </c>
      <c r="G217" s="5"/>
      <c r="H217" s="17">
        <v>46069</v>
      </c>
      <c r="I217" s="18"/>
      <c r="K217" s="2">
        <v>18000</v>
      </c>
      <c r="L217" s="3">
        <f t="shared" si="23"/>
        <v>11700</v>
      </c>
      <c r="M217" s="20"/>
      <c r="O217" s="6" t="str">
        <f t="shared" si="24"/>
        <v>Open</v>
      </c>
      <c r="P217" s="3">
        <f t="shared" si="25"/>
        <v>39</v>
      </c>
      <c r="Q217" s="2">
        <v>300</v>
      </c>
      <c r="R217" s="2">
        <v>300</v>
      </c>
      <c r="S217" s="2">
        <v>300</v>
      </c>
      <c r="T217" s="2">
        <v>300</v>
      </c>
      <c r="U217" s="2">
        <v>300</v>
      </c>
      <c r="V217" s="2">
        <v>300</v>
      </c>
      <c r="W217" s="2">
        <v>300</v>
      </c>
      <c r="X217" s="2">
        <v>300</v>
      </c>
      <c r="Y217" s="2">
        <v>300</v>
      </c>
      <c r="Z217" s="2">
        <v>300</v>
      </c>
      <c r="AA217" s="2">
        <v>300</v>
      </c>
      <c r="AB217" s="2">
        <v>300</v>
      </c>
      <c r="AC217" s="2">
        <v>300</v>
      </c>
      <c r="AD217" s="2">
        <v>300</v>
      </c>
      <c r="AE217" s="2">
        <v>300</v>
      </c>
      <c r="AF217" s="2">
        <v>300</v>
      </c>
      <c r="AG217" s="2">
        <v>300</v>
      </c>
      <c r="AH217" s="2">
        <v>300</v>
      </c>
      <c r="AI217" s="2">
        <v>300</v>
      </c>
      <c r="AJ217" s="2">
        <v>300</v>
      </c>
      <c r="AK217" s="2">
        <v>300</v>
      </c>
    </row>
    <row r="218" spans="1:37" ht="15.6" x14ac:dyDescent="0.3">
      <c r="A218" s="12" t="s">
        <v>159</v>
      </c>
      <c r="B218" s="2" t="s">
        <v>270</v>
      </c>
      <c r="C218" s="2" t="s">
        <v>207</v>
      </c>
      <c r="E218" s="2" t="s">
        <v>241</v>
      </c>
      <c r="G218" s="5"/>
      <c r="H218" s="17">
        <v>46069</v>
      </c>
      <c r="I218" s="18"/>
      <c r="K218" s="2">
        <v>12000</v>
      </c>
      <c r="L218" s="3">
        <f t="shared" si="23"/>
        <v>8800</v>
      </c>
      <c r="M218" s="20"/>
      <c r="O218" s="6" t="str">
        <f t="shared" si="24"/>
        <v>Open</v>
      </c>
      <c r="P218" s="3">
        <f t="shared" si="25"/>
        <v>44</v>
      </c>
      <c r="Q218" s="2">
        <v>200</v>
      </c>
      <c r="R218" s="2">
        <v>200</v>
      </c>
      <c r="S218" s="2">
        <v>200</v>
      </c>
      <c r="T218" s="2">
        <v>200</v>
      </c>
      <c r="U218" s="2">
        <v>200</v>
      </c>
      <c r="V218" s="2">
        <v>200</v>
      </c>
      <c r="W218" s="2">
        <v>200</v>
      </c>
      <c r="X218" s="2">
        <v>200</v>
      </c>
      <c r="Y218" s="2">
        <v>200</v>
      </c>
      <c r="Z218" s="2">
        <v>200</v>
      </c>
      <c r="AA218" s="2">
        <v>200</v>
      </c>
      <c r="AB218" s="2">
        <v>200</v>
      </c>
      <c r="AC218" s="2">
        <v>200</v>
      </c>
      <c r="AD218" s="2">
        <v>200</v>
      </c>
      <c r="AE218" s="2">
        <v>200</v>
      </c>
      <c r="AF218" s="2">
        <v>200</v>
      </c>
    </row>
    <row r="219" spans="1:37" ht="15.6" x14ac:dyDescent="0.3">
      <c r="A219" s="12" t="s">
        <v>159</v>
      </c>
      <c r="B219" s="2" t="s">
        <v>270</v>
      </c>
      <c r="C219" s="2" t="s">
        <v>207</v>
      </c>
      <c r="E219" s="2" t="s">
        <v>198</v>
      </c>
      <c r="G219" s="5"/>
      <c r="H219" s="17">
        <v>46069</v>
      </c>
      <c r="I219" s="18"/>
      <c r="K219" s="2">
        <v>3000</v>
      </c>
      <c r="L219" s="3">
        <f t="shared" si="23"/>
        <v>2150</v>
      </c>
      <c r="M219" s="20"/>
      <c r="O219" s="6" t="str">
        <f t="shared" si="24"/>
        <v>Open</v>
      </c>
      <c r="P219" s="3">
        <f t="shared" si="25"/>
        <v>43</v>
      </c>
      <c r="Q219" s="2">
        <v>50</v>
      </c>
      <c r="R219" s="2">
        <v>50</v>
      </c>
      <c r="S219" s="2">
        <v>50</v>
      </c>
      <c r="T219" s="2">
        <v>50</v>
      </c>
      <c r="U219" s="2">
        <v>50</v>
      </c>
      <c r="V219" s="2">
        <v>50</v>
      </c>
      <c r="W219" s="2">
        <v>50</v>
      </c>
      <c r="X219" s="2">
        <v>50</v>
      </c>
      <c r="Y219" s="2">
        <v>50</v>
      </c>
      <c r="Z219" s="2">
        <v>50</v>
      </c>
      <c r="AA219" s="2">
        <v>50</v>
      </c>
      <c r="AB219" s="2">
        <v>50</v>
      </c>
      <c r="AC219" s="2">
        <v>50</v>
      </c>
      <c r="AD219" s="2">
        <v>50</v>
      </c>
      <c r="AE219" s="2">
        <v>50</v>
      </c>
      <c r="AF219" s="2">
        <v>50</v>
      </c>
      <c r="AG219" s="2">
        <v>50</v>
      </c>
    </row>
    <row r="220" spans="1:37" ht="15.6" x14ac:dyDescent="0.3">
      <c r="A220" s="12" t="s">
        <v>159</v>
      </c>
      <c r="B220" s="2" t="s">
        <v>270</v>
      </c>
      <c r="C220" s="2" t="s">
        <v>207</v>
      </c>
      <c r="E220" s="2" t="s">
        <v>116</v>
      </c>
      <c r="G220" s="5"/>
      <c r="H220" s="17">
        <v>46069</v>
      </c>
      <c r="I220" s="18"/>
      <c r="K220" s="2">
        <v>18000</v>
      </c>
      <c r="L220" s="3">
        <f t="shared" si="23"/>
        <v>14100</v>
      </c>
      <c r="M220" s="20"/>
      <c r="O220" s="6" t="str">
        <f t="shared" si="24"/>
        <v>Open</v>
      </c>
      <c r="P220" s="3">
        <f t="shared" si="25"/>
        <v>47</v>
      </c>
      <c r="Q220" s="2">
        <v>300</v>
      </c>
      <c r="R220" s="2">
        <v>300</v>
      </c>
      <c r="S220" s="2">
        <v>300</v>
      </c>
      <c r="T220" s="2">
        <v>300</v>
      </c>
      <c r="U220" s="2">
        <v>300</v>
      </c>
      <c r="V220" s="2">
        <v>300</v>
      </c>
      <c r="W220" s="2">
        <v>300</v>
      </c>
      <c r="X220" s="2">
        <v>300</v>
      </c>
      <c r="Y220" s="2">
        <v>300</v>
      </c>
      <c r="Z220" s="2">
        <v>300</v>
      </c>
      <c r="AA220" s="2">
        <v>300</v>
      </c>
      <c r="AB220" s="2">
        <v>300</v>
      </c>
      <c r="AC220" s="2">
        <v>300</v>
      </c>
    </row>
    <row r="221" spans="1:37" ht="15.6" x14ac:dyDescent="0.3">
      <c r="A221" s="12" t="s">
        <v>159</v>
      </c>
      <c r="B221" s="2" t="s">
        <v>270</v>
      </c>
      <c r="C221" s="2" t="s">
        <v>207</v>
      </c>
      <c r="E221" s="2" t="s">
        <v>75</v>
      </c>
      <c r="G221" s="5"/>
      <c r="H221" s="17">
        <v>46069</v>
      </c>
      <c r="I221" s="18"/>
      <c r="K221" s="2">
        <v>12000</v>
      </c>
      <c r="L221" s="3">
        <f t="shared" si="23"/>
        <v>9400</v>
      </c>
      <c r="M221" s="20"/>
      <c r="O221" s="6" t="str">
        <f t="shared" si="24"/>
        <v>Open</v>
      </c>
      <c r="P221" s="3">
        <f t="shared" si="25"/>
        <v>47</v>
      </c>
      <c r="Q221" s="2">
        <v>200</v>
      </c>
      <c r="R221" s="2">
        <v>200</v>
      </c>
      <c r="S221" s="2">
        <v>200</v>
      </c>
      <c r="T221" s="2">
        <v>200</v>
      </c>
      <c r="U221" s="2">
        <v>200</v>
      </c>
      <c r="V221" s="2">
        <v>200</v>
      </c>
      <c r="W221" s="2">
        <v>200</v>
      </c>
      <c r="X221" s="2">
        <v>200</v>
      </c>
      <c r="Y221" s="2">
        <v>200</v>
      </c>
      <c r="Z221" s="2">
        <v>200</v>
      </c>
      <c r="AA221" s="2">
        <v>200</v>
      </c>
      <c r="AB221" s="2">
        <v>200</v>
      </c>
      <c r="AC221" s="2">
        <v>200</v>
      </c>
    </row>
    <row r="222" spans="1:37" ht="15.6" x14ac:dyDescent="0.3">
      <c r="A222" s="12" t="s">
        <v>159</v>
      </c>
      <c r="B222" s="2" t="s">
        <v>270</v>
      </c>
      <c r="C222" s="2" t="s">
        <v>207</v>
      </c>
      <c r="E222" s="2" t="s">
        <v>242</v>
      </c>
      <c r="G222" s="5"/>
      <c r="H222" s="17">
        <v>46069</v>
      </c>
      <c r="I222" s="18"/>
      <c r="K222" s="2">
        <v>6000</v>
      </c>
      <c r="L222" s="3">
        <f t="shared" si="23"/>
        <v>4600</v>
      </c>
      <c r="M222" s="20"/>
      <c r="O222" s="6" t="str">
        <f t="shared" si="24"/>
        <v>Open</v>
      </c>
      <c r="P222" s="3">
        <f t="shared" si="25"/>
        <v>46</v>
      </c>
      <c r="Q222" s="2">
        <v>100</v>
      </c>
      <c r="R222" s="2">
        <v>100</v>
      </c>
      <c r="S222" s="2">
        <v>100</v>
      </c>
      <c r="T222" s="2">
        <v>100</v>
      </c>
      <c r="U222" s="2">
        <v>100</v>
      </c>
      <c r="V222" s="2">
        <v>100</v>
      </c>
      <c r="W222" s="2">
        <v>100</v>
      </c>
      <c r="X222" s="2">
        <v>100</v>
      </c>
      <c r="Y222" s="2">
        <v>100</v>
      </c>
      <c r="Z222" s="2">
        <v>100</v>
      </c>
      <c r="AA222" s="2">
        <v>100</v>
      </c>
      <c r="AB222" s="2">
        <v>100</v>
      </c>
      <c r="AC222" s="2">
        <v>100</v>
      </c>
      <c r="AD222" s="2">
        <v>100</v>
      </c>
    </row>
    <row r="223" spans="1:37" ht="15.6" x14ac:dyDescent="0.3">
      <c r="A223" s="12" t="s">
        <v>159</v>
      </c>
      <c r="B223" s="2" t="s">
        <v>270</v>
      </c>
      <c r="C223" s="2" t="s">
        <v>207</v>
      </c>
      <c r="E223" s="2" t="s">
        <v>136</v>
      </c>
      <c r="G223" s="5"/>
      <c r="H223" s="17">
        <v>46069</v>
      </c>
      <c r="I223" s="18"/>
      <c r="K223" s="2">
        <v>6000</v>
      </c>
      <c r="L223" s="3">
        <f t="shared" si="23"/>
        <v>4500</v>
      </c>
      <c r="M223" s="20"/>
      <c r="O223" s="6" t="str">
        <f t="shared" si="24"/>
        <v>Open</v>
      </c>
      <c r="P223" s="3">
        <f t="shared" si="25"/>
        <v>45</v>
      </c>
      <c r="Q223" s="2">
        <v>100</v>
      </c>
      <c r="R223" s="2">
        <v>100</v>
      </c>
      <c r="S223" s="2">
        <v>100</v>
      </c>
      <c r="T223" s="2">
        <v>100</v>
      </c>
      <c r="U223" s="2">
        <v>100</v>
      </c>
      <c r="V223" s="2">
        <v>100</v>
      </c>
      <c r="W223" s="2">
        <v>100</v>
      </c>
      <c r="X223" s="2">
        <v>100</v>
      </c>
      <c r="Y223" s="2">
        <v>100</v>
      </c>
      <c r="Z223" s="2">
        <v>100</v>
      </c>
      <c r="AA223" s="2">
        <v>100</v>
      </c>
      <c r="AB223" s="2">
        <v>100</v>
      </c>
      <c r="AC223" s="2">
        <v>100</v>
      </c>
      <c r="AD223" s="2">
        <v>100</v>
      </c>
      <c r="AE223" s="2">
        <v>100</v>
      </c>
    </row>
    <row r="224" spans="1:37" ht="15.6" x14ac:dyDescent="0.3">
      <c r="A224" s="12" t="s">
        <v>159</v>
      </c>
      <c r="B224" s="2" t="s">
        <v>270</v>
      </c>
      <c r="C224" s="2" t="s">
        <v>207</v>
      </c>
      <c r="E224" s="2" t="s">
        <v>183</v>
      </c>
      <c r="G224" s="5"/>
      <c r="H224" s="17">
        <v>46069</v>
      </c>
      <c r="I224" s="18"/>
      <c r="K224" s="2">
        <v>3000</v>
      </c>
      <c r="L224" s="3">
        <f t="shared" si="23"/>
        <v>2400</v>
      </c>
      <c r="M224" s="20"/>
      <c r="O224" s="6" t="str">
        <f t="shared" si="24"/>
        <v>Open</v>
      </c>
      <c r="P224" s="3">
        <f t="shared" si="25"/>
        <v>48</v>
      </c>
      <c r="Q224" s="2">
        <v>50</v>
      </c>
      <c r="R224" s="2">
        <v>50</v>
      </c>
      <c r="S224" s="2">
        <v>50</v>
      </c>
      <c r="T224" s="2">
        <v>50</v>
      </c>
      <c r="U224" s="2">
        <v>50</v>
      </c>
      <c r="V224" s="2">
        <v>50</v>
      </c>
      <c r="W224" s="2">
        <v>50</v>
      </c>
      <c r="X224" s="2">
        <v>50</v>
      </c>
      <c r="Y224" s="2">
        <v>50</v>
      </c>
      <c r="Z224" s="2">
        <v>50</v>
      </c>
      <c r="AA224" s="2">
        <v>50</v>
      </c>
      <c r="AB224" s="2">
        <v>50</v>
      </c>
    </row>
    <row r="225" spans="1:69" ht="15.6" x14ac:dyDescent="0.3">
      <c r="A225" s="12" t="s">
        <v>159</v>
      </c>
      <c r="B225" s="2" t="s">
        <v>270</v>
      </c>
      <c r="C225" s="2" t="s">
        <v>207</v>
      </c>
      <c r="E225" s="2" t="s">
        <v>243</v>
      </c>
      <c r="G225" s="5"/>
      <c r="H225" s="17">
        <v>46069</v>
      </c>
      <c r="I225" s="18"/>
      <c r="K225" s="2">
        <v>12000</v>
      </c>
      <c r="L225" s="3">
        <f t="shared" si="23"/>
        <v>11000</v>
      </c>
      <c r="M225" s="20"/>
      <c r="O225" s="6" t="str">
        <f t="shared" si="24"/>
        <v>Open</v>
      </c>
      <c r="P225" s="3">
        <f t="shared" si="25"/>
        <v>55</v>
      </c>
      <c r="Q225" s="2">
        <v>200</v>
      </c>
      <c r="R225" s="2">
        <v>200</v>
      </c>
      <c r="S225" s="2">
        <v>200</v>
      </c>
      <c r="T225" s="2">
        <v>200</v>
      </c>
      <c r="U225" s="2">
        <v>200</v>
      </c>
    </row>
    <row r="226" spans="1:69" ht="15.6" x14ac:dyDescent="0.3">
      <c r="A226" s="12" t="s">
        <v>159</v>
      </c>
      <c r="B226" s="2" t="s">
        <v>270</v>
      </c>
      <c r="C226" s="2" t="s">
        <v>244</v>
      </c>
      <c r="E226" s="2" t="s">
        <v>111</v>
      </c>
      <c r="G226" s="5"/>
      <c r="H226" s="17">
        <v>46069</v>
      </c>
      <c r="I226" s="18"/>
      <c r="K226" s="2">
        <v>18000</v>
      </c>
      <c r="L226" s="3">
        <f t="shared" si="23"/>
        <v>2100</v>
      </c>
      <c r="M226" s="20"/>
      <c r="O226" s="6" t="str">
        <f t="shared" si="24"/>
        <v>Open</v>
      </c>
      <c r="P226" s="3">
        <f t="shared" si="25"/>
        <v>7</v>
      </c>
      <c r="Q226" s="2">
        <v>300</v>
      </c>
      <c r="R226" s="2">
        <v>300</v>
      </c>
      <c r="S226" s="2">
        <v>300</v>
      </c>
      <c r="T226" s="2">
        <v>300</v>
      </c>
      <c r="U226" s="2">
        <v>300</v>
      </c>
      <c r="V226" s="2">
        <v>300</v>
      </c>
      <c r="W226" s="2">
        <v>300</v>
      </c>
      <c r="X226" s="2">
        <v>300</v>
      </c>
      <c r="Y226" s="2">
        <v>300</v>
      </c>
      <c r="Z226" s="2">
        <v>300</v>
      </c>
      <c r="AA226" s="2">
        <v>300</v>
      </c>
      <c r="AB226" s="2">
        <v>300</v>
      </c>
      <c r="AC226" s="2">
        <v>300</v>
      </c>
      <c r="AD226" s="2">
        <v>300</v>
      </c>
      <c r="AE226" s="2">
        <v>300</v>
      </c>
      <c r="AF226" s="2">
        <v>300</v>
      </c>
      <c r="AG226" s="2">
        <v>300</v>
      </c>
      <c r="AH226" s="2">
        <v>300</v>
      </c>
      <c r="AI226" s="2">
        <v>300</v>
      </c>
      <c r="AJ226" s="2">
        <v>300</v>
      </c>
      <c r="AK226" s="2">
        <v>300</v>
      </c>
      <c r="AL226" s="2">
        <v>300</v>
      </c>
      <c r="AM226" s="2">
        <v>300</v>
      </c>
      <c r="AN226" s="2">
        <v>300</v>
      </c>
      <c r="AO226" s="2">
        <v>300</v>
      </c>
      <c r="AP226" s="2">
        <v>300</v>
      </c>
      <c r="AQ226" s="2">
        <v>300</v>
      </c>
      <c r="AR226" s="2">
        <v>300</v>
      </c>
      <c r="AS226" s="2">
        <v>300</v>
      </c>
      <c r="AT226" s="2">
        <v>300</v>
      </c>
      <c r="AU226" s="2">
        <v>300</v>
      </c>
      <c r="AV226" s="2">
        <v>300</v>
      </c>
      <c r="AW226" s="2">
        <v>300</v>
      </c>
      <c r="AX226" s="2">
        <v>300</v>
      </c>
      <c r="AY226" s="2">
        <v>300</v>
      </c>
      <c r="AZ226" s="2">
        <v>300</v>
      </c>
      <c r="BA226" s="2">
        <v>300</v>
      </c>
      <c r="BB226" s="2">
        <v>300</v>
      </c>
      <c r="BC226" s="2">
        <v>300</v>
      </c>
      <c r="BD226" s="2">
        <v>300</v>
      </c>
      <c r="BE226" s="2">
        <v>300</v>
      </c>
      <c r="BF226" s="2">
        <v>300</v>
      </c>
      <c r="BG226" s="2">
        <v>300</v>
      </c>
      <c r="BH226" s="2">
        <v>300</v>
      </c>
      <c r="BI226" s="2">
        <v>300</v>
      </c>
      <c r="BJ226" s="2">
        <v>300</v>
      </c>
      <c r="BK226" s="2">
        <v>300</v>
      </c>
      <c r="BL226" s="2">
        <v>300</v>
      </c>
      <c r="BM226" s="2">
        <v>300</v>
      </c>
      <c r="BN226" s="2">
        <v>300</v>
      </c>
      <c r="BO226" s="2">
        <v>300</v>
      </c>
      <c r="BP226" s="2">
        <v>300</v>
      </c>
      <c r="BQ226" s="2">
        <v>300</v>
      </c>
    </row>
    <row r="227" spans="1:69" ht="15.6" x14ac:dyDescent="0.3">
      <c r="A227" s="12" t="s">
        <v>159</v>
      </c>
      <c r="B227" s="2" t="s">
        <v>270</v>
      </c>
      <c r="C227" s="2" t="s">
        <v>244</v>
      </c>
      <c r="E227" s="2" t="s">
        <v>168</v>
      </c>
      <c r="G227" s="5"/>
      <c r="H227" s="17">
        <v>46069</v>
      </c>
      <c r="I227" s="18"/>
      <c r="K227" s="2">
        <v>6000</v>
      </c>
      <c r="L227" s="3">
        <f t="shared" si="23"/>
        <v>900</v>
      </c>
      <c r="M227" s="20"/>
      <c r="O227" s="6" t="str">
        <f t="shared" si="24"/>
        <v>Open</v>
      </c>
      <c r="P227" s="3">
        <f t="shared" si="25"/>
        <v>9</v>
      </c>
      <c r="Q227" s="2">
        <v>100</v>
      </c>
      <c r="R227" s="2">
        <v>100</v>
      </c>
      <c r="S227" s="2">
        <v>100</v>
      </c>
      <c r="T227" s="2">
        <v>100</v>
      </c>
      <c r="U227" s="2">
        <v>100</v>
      </c>
      <c r="V227" s="2">
        <v>100</v>
      </c>
      <c r="W227" s="2">
        <v>100</v>
      </c>
      <c r="X227" s="2">
        <v>100</v>
      </c>
      <c r="Y227" s="2">
        <v>100</v>
      </c>
      <c r="Z227" s="2">
        <v>100</v>
      </c>
      <c r="AA227" s="2">
        <v>100</v>
      </c>
      <c r="AB227" s="2">
        <v>100</v>
      </c>
      <c r="AC227" s="2">
        <v>100</v>
      </c>
      <c r="AD227" s="2">
        <v>100</v>
      </c>
      <c r="AE227" s="2">
        <v>100</v>
      </c>
      <c r="AF227" s="2">
        <v>100</v>
      </c>
      <c r="AG227" s="2">
        <v>100</v>
      </c>
      <c r="AH227" s="2">
        <v>100</v>
      </c>
      <c r="AI227" s="2">
        <v>100</v>
      </c>
      <c r="AJ227" s="2">
        <v>100</v>
      </c>
      <c r="AK227" s="2">
        <v>100</v>
      </c>
      <c r="AL227" s="2">
        <v>100</v>
      </c>
      <c r="AM227" s="2">
        <v>100</v>
      </c>
      <c r="AN227" s="2">
        <v>100</v>
      </c>
      <c r="AO227" s="2">
        <v>100</v>
      </c>
      <c r="AP227" s="2">
        <v>100</v>
      </c>
      <c r="AQ227" s="2">
        <v>100</v>
      </c>
      <c r="AR227" s="2">
        <v>100</v>
      </c>
      <c r="AS227" s="2">
        <v>100</v>
      </c>
      <c r="AT227" s="2">
        <v>100</v>
      </c>
      <c r="AU227" s="2">
        <v>100</v>
      </c>
      <c r="AV227" s="2">
        <v>100</v>
      </c>
      <c r="AW227" s="2">
        <v>100</v>
      </c>
      <c r="AX227" s="2">
        <v>100</v>
      </c>
      <c r="AY227" s="2">
        <v>100</v>
      </c>
      <c r="AZ227" s="2">
        <v>100</v>
      </c>
      <c r="BA227" s="2">
        <v>100</v>
      </c>
      <c r="BB227" s="2">
        <v>100</v>
      </c>
      <c r="BC227" s="2">
        <v>100</v>
      </c>
      <c r="BD227" s="2">
        <v>100</v>
      </c>
      <c r="BE227" s="2">
        <v>100</v>
      </c>
      <c r="BF227" s="2">
        <v>100</v>
      </c>
      <c r="BG227" s="2">
        <v>100</v>
      </c>
      <c r="BH227" s="2">
        <v>100</v>
      </c>
      <c r="BI227" s="2">
        <v>100</v>
      </c>
      <c r="BJ227" s="2">
        <v>100</v>
      </c>
      <c r="BK227" s="2">
        <v>100</v>
      </c>
      <c r="BL227" s="2">
        <v>100</v>
      </c>
      <c r="BM227" s="2">
        <v>100</v>
      </c>
      <c r="BN227" s="2">
        <v>100</v>
      </c>
      <c r="BO227" s="2">
        <v>100</v>
      </c>
    </row>
    <row r="228" spans="1:69" ht="15.6" x14ac:dyDescent="0.3">
      <c r="A228" s="12" t="s">
        <v>159</v>
      </c>
      <c r="B228" s="2" t="s">
        <v>270</v>
      </c>
      <c r="C228" s="2" t="s">
        <v>244</v>
      </c>
      <c r="E228" s="2" t="s">
        <v>245</v>
      </c>
      <c r="G228" s="5"/>
      <c r="H228" s="17">
        <v>46069</v>
      </c>
      <c r="I228" s="18"/>
      <c r="K228" s="2">
        <v>9000</v>
      </c>
      <c r="L228" s="3">
        <f t="shared" si="23"/>
        <v>2100</v>
      </c>
      <c r="M228" s="20"/>
      <c r="O228" s="6" t="str">
        <f t="shared" si="24"/>
        <v>Open</v>
      </c>
      <c r="P228" s="3">
        <f t="shared" si="25"/>
        <v>14</v>
      </c>
      <c r="Q228" s="2">
        <v>150</v>
      </c>
      <c r="R228" s="2">
        <v>150</v>
      </c>
      <c r="S228" s="2">
        <v>150</v>
      </c>
      <c r="T228" s="2">
        <v>150</v>
      </c>
      <c r="U228" s="2">
        <v>150</v>
      </c>
      <c r="V228" s="2">
        <v>150</v>
      </c>
      <c r="W228" s="2">
        <v>150</v>
      </c>
      <c r="X228" s="2">
        <v>150</v>
      </c>
      <c r="Y228" s="2">
        <v>150</v>
      </c>
      <c r="Z228" s="2">
        <v>150</v>
      </c>
      <c r="AA228" s="2">
        <v>150</v>
      </c>
      <c r="AB228" s="2">
        <v>150</v>
      </c>
      <c r="AC228" s="2">
        <v>150</v>
      </c>
      <c r="AD228" s="2">
        <v>150</v>
      </c>
      <c r="AE228" s="2">
        <v>150</v>
      </c>
      <c r="AF228" s="2">
        <v>150</v>
      </c>
      <c r="AG228" s="2">
        <v>150</v>
      </c>
      <c r="AH228" s="2">
        <v>150</v>
      </c>
      <c r="AI228" s="2">
        <v>150</v>
      </c>
      <c r="AJ228" s="2">
        <v>150</v>
      </c>
      <c r="AK228" s="2">
        <v>150</v>
      </c>
      <c r="AL228" s="2">
        <v>150</v>
      </c>
      <c r="AM228" s="2">
        <v>150</v>
      </c>
      <c r="AN228" s="2">
        <v>150</v>
      </c>
      <c r="AO228" s="2">
        <v>150</v>
      </c>
      <c r="AP228" s="2">
        <v>150</v>
      </c>
      <c r="AQ228" s="2">
        <v>150</v>
      </c>
      <c r="AR228" s="2">
        <v>150</v>
      </c>
      <c r="AS228" s="2">
        <v>150</v>
      </c>
      <c r="AT228" s="2">
        <v>150</v>
      </c>
      <c r="AU228" s="2">
        <v>150</v>
      </c>
      <c r="AV228" s="2">
        <v>150</v>
      </c>
      <c r="AW228" s="2">
        <v>150</v>
      </c>
      <c r="AX228" s="2">
        <v>150</v>
      </c>
      <c r="AY228" s="2">
        <v>150</v>
      </c>
      <c r="AZ228" s="2">
        <v>150</v>
      </c>
      <c r="BA228" s="2">
        <v>150</v>
      </c>
      <c r="BB228" s="2">
        <v>150</v>
      </c>
      <c r="BC228" s="2">
        <v>150</v>
      </c>
      <c r="BD228" s="2">
        <v>150</v>
      </c>
      <c r="BE228" s="2">
        <v>150</v>
      </c>
      <c r="BF228" s="2">
        <v>150</v>
      </c>
      <c r="BG228" s="2">
        <v>150</v>
      </c>
      <c r="BH228" s="2">
        <v>150</v>
      </c>
      <c r="BI228" s="2">
        <v>150</v>
      </c>
      <c r="BJ228" s="2">
        <v>150</v>
      </c>
    </row>
    <row r="229" spans="1:69" ht="15.6" x14ac:dyDescent="0.3">
      <c r="A229" s="12" t="s">
        <v>159</v>
      </c>
      <c r="B229" s="2" t="s">
        <v>270</v>
      </c>
      <c r="C229" s="2" t="s">
        <v>244</v>
      </c>
      <c r="E229" s="2" t="s">
        <v>246</v>
      </c>
      <c r="G229" s="5"/>
      <c r="H229" s="17">
        <v>46069</v>
      </c>
      <c r="I229" s="18"/>
      <c r="K229" s="2">
        <v>18000</v>
      </c>
      <c r="L229" s="3">
        <f t="shared" si="23"/>
        <v>4800</v>
      </c>
      <c r="M229" s="20"/>
      <c r="O229" s="6" t="str">
        <f t="shared" si="24"/>
        <v>Open</v>
      </c>
      <c r="P229" s="3">
        <f t="shared" si="25"/>
        <v>16</v>
      </c>
      <c r="Q229" s="2">
        <v>300</v>
      </c>
      <c r="R229" s="2">
        <v>300</v>
      </c>
      <c r="S229" s="2">
        <v>300</v>
      </c>
      <c r="T229" s="2">
        <v>300</v>
      </c>
      <c r="U229" s="2">
        <v>300</v>
      </c>
      <c r="V229" s="2">
        <v>300</v>
      </c>
      <c r="W229" s="2">
        <v>300</v>
      </c>
      <c r="X229" s="2">
        <v>300</v>
      </c>
      <c r="Y229" s="2">
        <v>300</v>
      </c>
      <c r="Z229" s="2">
        <v>300</v>
      </c>
      <c r="AA229" s="2">
        <v>300</v>
      </c>
      <c r="AB229" s="2">
        <v>300</v>
      </c>
      <c r="AC229" s="2">
        <v>300</v>
      </c>
      <c r="AD229" s="2">
        <v>300</v>
      </c>
      <c r="AE229" s="2">
        <v>300</v>
      </c>
      <c r="AF229" s="2">
        <v>300</v>
      </c>
      <c r="AG229" s="2">
        <v>300</v>
      </c>
      <c r="AH229" s="2">
        <v>300</v>
      </c>
      <c r="AI229" s="2">
        <v>300</v>
      </c>
      <c r="AJ229" s="2">
        <v>300</v>
      </c>
      <c r="AK229" s="2">
        <v>300</v>
      </c>
      <c r="AL229" s="2">
        <v>300</v>
      </c>
      <c r="AM229" s="2">
        <v>300</v>
      </c>
      <c r="AN229" s="2">
        <v>300</v>
      </c>
      <c r="AO229" s="2">
        <v>300</v>
      </c>
      <c r="AP229" s="2">
        <v>300</v>
      </c>
      <c r="AQ229" s="2">
        <v>300</v>
      </c>
      <c r="AR229" s="2">
        <v>300</v>
      </c>
      <c r="AS229" s="2">
        <v>300</v>
      </c>
      <c r="AT229" s="2">
        <v>300</v>
      </c>
      <c r="AU229" s="2">
        <v>300</v>
      </c>
      <c r="AV229" s="2">
        <v>300</v>
      </c>
      <c r="AW229" s="2">
        <v>300</v>
      </c>
      <c r="AX229" s="2">
        <v>300</v>
      </c>
      <c r="AY229" s="2">
        <v>300</v>
      </c>
      <c r="AZ229" s="2">
        <v>300</v>
      </c>
      <c r="BA229" s="2">
        <v>300</v>
      </c>
      <c r="BB229" s="2">
        <v>300</v>
      </c>
      <c r="BC229" s="2">
        <v>300</v>
      </c>
      <c r="BD229" s="2">
        <v>300</v>
      </c>
      <c r="BE229" s="2">
        <v>300</v>
      </c>
      <c r="BF229" s="2">
        <v>300</v>
      </c>
      <c r="BG229" s="2">
        <v>300</v>
      </c>
      <c r="BH229" s="2">
        <v>300</v>
      </c>
    </row>
    <row r="230" spans="1:69" ht="15.6" x14ac:dyDescent="0.3">
      <c r="A230" s="12" t="s">
        <v>159</v>
      </c>
      <c r="B230" s="2" t="s">
        <v>270</v>
      </c>
      <c r="C230" s="2" t="s">
        <v>244</v>
      </c>
      <c r="E230" s="2" t="s">
        <v>83</v>
      </c>
      <c r="G230" s="5"/>
      <c r="H230" s="17">
        <v>46069</v>
      </c>
      <c r="I230" s="18"/>
      <c r="K230" s="2">
        <v>12000</v>
      </c>
      <c r="L230" s="3">
        <f t="shared" si="23"/>
        <v>11000</v>
      </c>
      <c r="M230" s="20"/>
      <c r="O230" s="6" t="str">
        <f t="shared" si="24"/>
        <v>Open</v>
      </c>
      <c r="P230" s="3">
        <f t="shared" si="25"/>
        <v>55</v>
      </c>
      <c r="Q230" s="2">
        <v>200</v>
      </c>
      <c r="R230" s="2">
        <v>200</v>
      </c>
      <c r="S230" s="2">
        <v>200</v>
      </c>
      <c r="T230" s="2">
        <v>200</v>
      </c>
      <c r="U230" s="2">
        <v>200</v>
      </c>
    </row>
    <row r="231" spans="1:69" ht="15.6" x14ac:dyDescent="0.3">
      <c r="A231" s="12" t="s">
        <v>159</v>
      </c>
      <c r="B231" s="2" t="s">
        <v>270</v>
      </c>
      <c r="C231" s="2" t="s">
        <v>244</v>
      </c>
      <c r="E231" s="2" t="s">
        <v>100</v>
      </c>
      <c r="G231" s="5"/>
      <c r="H231" s="17">
        <v>46069</v>
      </c>
      <c r="I231" s="18"/>
      <c r="K231" s="2">
        <v>12000</v>
      </c>
      <c r="L231" s="3">
        <f t="shared" si="23"/>
        <v>5000</v>
      </c>
      <c r="M231" s="20"/>
      <c r="O231" s="6" t="str">
        <f t="shared" si="24"/>
        <v>Open</v>
      </c>
      <c r="P231" s="3">
        <f t="shared" si="25"/>
        <v>25</v>
      </c>
      <c r="Q231" s="2">
        <v>200</v>
      </c>
      <c r="R231" s="2">
        <v>200</v>
      </c>
      <c r="S231" s="2">
        <v>200</v>
      </c>
      <c r="T231" s="2">
        <v>200</v>
      </c>
      <c r="U231" s="2">
        <v>200</v>
      </c>
      <c r="V231" s="2">
        <v>200</v>
      </c>
      <c r="W231" s="2">
        <v>200</v>
      </c>
      <c r="X231" s="2">
        <v>200</v>
      </c>
      <c r="Y231" s="2">
        <v>200</v>
      </c>
      <c r="Z231" s="2">
        <v>200</v>
      </c>
      <c r="AA231" s="2">
        <v>200</v>
      </c>
      <c r="AB231" s="2">
        <v>200</v>
      </c>
      <c r="AC231" s="2">
        <v>200</v>
      </c>
      <c r="AD231" s="2">
        <v>200</v>
      </c>
      <c r="AE231" s="2">
        <v>200</v>
      </c>
      <c r="AF231" s="2">
        <v>200</v>
      </c>
      <c r="AG231" s="2">
        <v>200</v>
      </c>
      <c r="AH231" s="2">
        <v>200</v>
      </c>
      <c r="AI231" s="2">
        <v>200</v>
      </c>
      <c r="AJ231" s="2">
        <v>200</v>
      </c>
      <c r="AK231" s="2">
        <v>200</v>
      </c>
      <c r="AL231" s="2">
        <v>200</v>
      </c>
      <c r="AM231" s="2">
        <v>200</v>
      </c>
      <c r="AN231" s="2">
        <v>200</v>
      </c>
      <c r="AO231" s="2">
        <v>200</v>
      </c>
      <c r="AP231" s="2">
        <v>200</v>
      </c>
      <c r="AQ231" s="2">
        <v>200</v>
      </c>
      <c r="AR231" s="2">
        <v>200</v>
      </c>
      <c r="AS231" s="2">
        <v>200</v>
      </c>
      <c r="AT231" s="2">
        <v>200</v>
      </c>
      <c r="AU231" s="2">
        <v>200</v>
      </c>
      <c r="AV231" s="2">
        <v>200</v>
      </c>
      <c r="AW231" s="2">
        <v>200</v>
      </c>
      <c r="AX231" s="2">
        <v>200</v>
      </c>
      <c r="AY231" s="2">
        <v>200</v>
      </c>
    </row>
    <row r="232" spans="1:69" ht="15.6" x14ac:dyDescent="0.3">
      <c r="A232" s="12" t="s">
        <v>159</v>
      </c>
      <c r="B232" s="2" t="s">
        <v>270</v>
      </c>
      <c r="C232" s="2" t="s">
        <v>244</v>
      </c>
      <c r="E232" s="2" t="s">
        <v>74</v>
      </c>
      <c r="G232" s="5"/>
      <c r="H232" s="17">
        <v>46069</v>
      </c>
      <c r="I232" s="18"/>
      <c r="K232" s="2">
        <v>12000</v>
      </c>
      <c r="L232" s="3">
        <f t="shared" si="23"/>
        <v>5400</v>
      </c>
      <c r="M232" s="20"/>
      <c r="O232" s="6" t="str">
        <f t="shared" si="24"/>
        <v>Open</v>
      </c>
      <c r="P232" s="3">
        <f t="shared" si="25"/>
        <v>27</v>
      </c>
      <c r="Q232" s="2">
        <v>200</v>
      </c>
      <c r="R232" s="2">
        <v>200</v>
      </c>
      <c r="S232" s="2">
        <v>200</v>
      </c>
      <c r="T232" s="2">
        <v>200</v>
      </c>
      <c r="U232" s="2">
        <v>200</v>
      </c>
      <c r="V232" s="2">
        <v>200</v>
      </c>
      <c r="W232" s="2">
        <v>200</v>
      </c>
      <c r="X232" s="2">
        <v>200</v>
      </c>
      <c r="Y232" s="2">
        <v>200</v>
      </c>
      <c r="Z232" s="2">
        <v>200</v>
      </c>
      <c r="AA232" s="2">
        <v>200</v>
      </c>
      <c r="AB232" s="2">
        <v>200</v>
      </c>
      <c r="AC232" s="2">
        <v>200</v>
      </c>
      <c r="AD232" s="2">
        <v>200</v>
      </c>
      <c r="AE232" s="2">
        <v>200</v>
      </c>
      <c r="AF232" s="2">
        <v>200</v>
      </c>
      <c r="AG232" s="2">
        <v>200</v>
      </c>
      <c r="AH232" s="2">
        <v>200</v>
      </c>
      <c r="AI232" s="2">
        <v>200</v>
      </c>
      <c r="AJ232" s="2">
        <v>200</v>
      </c>
      <c r="AK232" s="2">
        <v>200</v>
      </c>
      <c r="AL232" s="2">
        <v>200</v>
      </c>
      <c r="AM232" s="2">
        <v>200</v>
      </c>
      <c r="AN232" s="2">
        <v>200</v>
      </c>
      <c r="AO232" s="2">
        <v>200</v>
      </c>
      <c r="AP232" s="2">
        <v>200</v>
      </c>
      <c r="AQ232" s="2">
        <v>200</v>
      </c>
      <c r="AR232" s="2">
        <v>200</v>
      </c>
      <c r="AS232" s="2">
        <v>200</v>
      </c>
      <c r="AT232" s="2">
        <v>200</v>
      </c>
      <c r="AU232" s="2">
        <v>200</v>
      </c>
      <c r="AV232" s="2">
        <v>200</v>
      </c>
      <c r="AW232" s="2">
        <v>200</v>
      </c>
    </row>
    <row r="233" spans="1:69" ht="15.6" x14ac:dyDescent="0.3">
      <c r="A233" s="12" t="s">
        <v>159</v>
      </c>
      <c r="B233" s="2" t="s">
        <v>270</v>
      </c>
      <c r="C233" s="2" t="s">
        <v>244</v>
      </c>
      <c r="E233" s="2" t="s">
        <v>98</v>
      </c>
      <c r="G233" s="5"/>
      <c r="H233" s="17">
        <v>46069</v>
      </c>
      <c r="I233" s="18"/>
      <c r="K233" s="2">
        <v>9000</v>
      </c>
      <c r="L233" s="3">
        <f t="shared" si="23"/>
        <v>7500</v>
      </c>
      <c r="M233" s="20"/>
      <c r="O233" s="6" t="str">
        <f t="shared" si="24"/>
        <v>Open</v>
      </c>
      <c r="P233" s="3">
        <f t="shared" si="25"/>
        <v>50</v>
      </c>
      <c r="Q233" s="2">
        <v>150</v>
      </c>
      <c r="R233" s="2">
        <v>150</v>
      </c>
      <c r="S233" s="2">
        <v>150</v>
      </c>
      <c r="T233" s="2">
        <v>150</v>
      </c>
      <c r="U233" s="2">
        <v>150</v>
      </c>
      <c r="V233" s="2">
        <v>150</v>
      </c>
      <c r="W233" s="2">
        <v>150</v>
      </c>
      <c r="X233" s="2">
        <v>150</v>
      </c>
      <c r="Y233" s="2">
        <v>150</v>
      </c>
      <c r="Z233" s="2">
        <v>150</v>
      </c>
    </row>
    <row r="234" spans="1:69" ht="15.6" x14ac:dyDescent="0.3">
      <c r="A234" s="12" t="s">
        <v>159</v>
      </c>
      <c r="B234" s="2" t="s">
        <v>270</v>
      </c>
      <c r="C234" s="2" t="s">
        <v>244</v>
      </c>
      <c r="E234" s="2" t="s">
        <v>247</v>
      </c>
      <c r="G234" s="5"/>
      <c r="H234" s="17">
        <v>46069</v>
      </c>
      <c r="I234" s="18"/>
      <c r="K234" s="2">
        <v>18000</v>
      </c>
      <c r="L234" s="3">
        <f t="shared" si="23"/>
        <v>16800</v>
      </c>
      <c r="M234" s="20"/>
      <c r="O234" s="6" t="str">
        <f t="shared" si="24"/>
        <v>Open</v>
      </c>
      <c r="P234" s="3">
        <f t="shared" si="25"/>
        <v>56</v>
      </c>
      <c r="Q234" s="2">
        <v>300</v>
      </c>
      <c r="R234" s="2">
        <v>300</v>
      </c>
      <c r="S234" s="2">
        <v>300</v>
      </c>
      <c r="T234" s="2">
        <v>300</v>
      </c>
    </row>
    <row r="235" spans="1:69" ht="15.6" x14ac:dyDescent="0.3">
      <c r="A235" s="12" t="s">
        <v>159</v>
      </c>
      <c r="B235" s="2" t="s">
        <v>270</v>
      </c>
      <c r="C235" s="2" t="s">
        <v>244</v>
      </c>
      <c r="E235" s="2" t="s">
        <v>248</v>
      </c>
      <c r="G235" s="5"/>
      <c r="H235" s="17">
        <v>46069</v>
      </c>
      <c r="I235" s="18"/>
      <c r="K235" s="2">
        <v>12000</v>
      </c>
      <c r="L235" s="3">
        <f t="shared" si="23"/>
        <v>6200</v>
      </c>
      <c r="M235" s="20"/>
      <c r="O235" s="6" t="str">
        <f t="shared" si="24"/>
        <v>Open</v>
      </c>
      <c r="P235" s="3">
        <f t="shared" si="25"/>
        <v>31</v>
      </c>
      <c r="Q235" s="2">
        <v>200</v>
      </c>
      <c r="R235" s="2">
        <v>200</v>
      </c>
      <c r="S235" s="2">
        <v>200</v>
      </c>
      <c r="T235" s="2">
        <v>200</v>
      </c>
      <c r="U235" s="2">
        <v>200</v>
      </c>
      <c r="V235" s="2">
        <v>200</v>
      </c>
      <c r="W235" s="2">
        <v>200</v>
      </c>
      <c r="X235" s="2">
        <v>200</v>
      </c>
      <c r="Y235" s="2">
        <v>200</v>
      </c>
      <c r="Z235" s="2">
        <v>200</v>
      </c>
      <c r="AA235" s="2">
        <v>200</v>
      </c>
      <c r="AB235" s="2">
        <v>200</v>
      </c>
      <c r="AC235" s="2">
        <v>200</v>
      </c>
      <c r="AD235" s="2">
        <v>200</v>
      </c>
      <c r="AE235" s="2">
        <v>200</v>
      </c>
      <c r="AF235" s="2">
        <v>200</v>
      </c>
      <c r="AG235" s="2">
        <v>200</v>
      </c>
      <c r="AH235" s="2">
        <v>200</v>
      </c>
      <c r="AI235" s="2">
        <v>200</v>
      </c>
      <c r="AJ235" s="2">
        <v>200</v>
      </c>
      <c r="AK235" s="2">
        <v>200</v>
      </c>
      <c r="AL235" s="2">
        <v>200</v>
      </c>
      <c r="AM235" s="2">
        <v>200</v>
      </c>
      <c r="AN235" s="2">
        <v>200</v>
      </c>
      <c r="AO235" s="2">
        <v>200</v>
      </c>
      <c r="AP235" s="2">
        <v>200</v>
      </c>
      <c r="AQ235" s="2">
        <v>200</v>
      </c>
      <c r="AR235" s="2">
        <v>200</v>
      </c>
      <c r="AS235" s="2">
        <v>200</v>
      </c>
    </row>
    <row r="236" spans="1:69" ht="15.6" x14ac:dyDescent="0.3">
      <c r="A236" s="12" t="s">
        <v>159</v>
      </c>
      <c r="B236" s="2" t="s">
        <v>270</v>
      </c>
      <c r="C236" s="2" t="s">
        <v>244</v>
      </c>
      <c r="E236" s="2" t="s">
        <v>249</v>
      </c>
      <c r="G236" s="5"/>
      <c r="H236" s="17">
        <v>46069</v>
      </c>
      <c r="I236" s="18"/>
      <c r="K236" s="2">
        <v>12000</v>
      </c>
      <c r="L236" s="3">
        <f t="shared" si="23"/>
        <v>7000</v>
      </c>
      <c r="M236" s="20"/>
      <c r="O236" s="6" t="str">
        <f t="shared" si="24"/>
        <v>Open</v>
      </c>
      <c r="P236" s="3">
        <f t="shared" si="25"/>
        <v>35</v>
      </c>
      <c r="Q236" s="2">
        <v>200</v>
      </c>
      <c r="R236" s="2">
        <v>200</v>
      </c>
      <c r="S236" s="2">
        <v>200</v>
      </c>
      <c r="T236" s="2">
        <v>200</v>
      </c>
      <c r="U236" s="2">
        <v>200</v>
      </c>
      <c r="V236" s="2">
        <v>200</v>
      </c>
      <c r="W236" s="2">
        <v>200</v>
      </c>
      <c r="X236" s="2">
        <v>200</v>
      </c>
      <c r="Y236" s="2">
        <v>200</v>
      </c>
      <c r="Z236" s="2">
        <v>200</v>
      </c>
      <c r="AA236" s="2">
        <v>200</v>
      </c>
      <c r="AB236" s="2">
        <v>200</v>
      </c>
      <c r="AC236" s="2">
        <v>200</v>
      </c>
      <c r="AD236" s="2">
        <v>200</v>
      </c>
      <c r="AE236" s="2">
        <v>200</v>
      </c>
      <c r="AF236" s="2">
        <v>200</v>
      </c>
      <c r="AG236" s="2">
        <v>200</v>
      </c>
      <c r="AH236" s="2">
        <v>200</v>
      </c>
      <c r="AI236" s="2">
        <v>200</v>
      </c>
      <c r="AJ236" s="2">
        <v>200</v>
      </c>
      <c r="AK236" s="2">
        <v>200</v>
      </c>
      <c r="AL236" s="2">
        <v>200</v>
      </c>
      <c r="AM236" s="2">
        <v>200</v>
      </c>
      <c r="AN236" s="2">
        <v>200</v>
      </c>
      <c r="AO236" s="2">
        <v>200</v>
      </c>
    </row>
    <row r="237" spans="1:69" ht="15.6" x14ac:dyDescent="0.3">
      <c r="A237" s="12" t="s">
        <v>159</v>
      </c>
      <c r="B237" s="2" t="s">
        <v>270</v>
      </c>
      <c r="C237" s="2" t="s">
        <v>244</v>
      </c>
      <c r="E237" s="2" t="s">
        <v>130</v>
      </c>
      <c r="G237" s="5"/>
      <c r="H237" s="17">
        <v>46069</v>
      </c>
      <c r="I237" s="18"/>
      <c r="K237" s="2">
        <v>9000</v>
      </c>
      <c r="L237" s="3">
        <f t="shared" si="23"/>
        <v>6150</v>
      </c>
      <c r="M237" s="20"/>
      <c r="O237" s="6" t="str">
        <f t="shared" si="24"/>
        <v>Open</v>
      </c>
      <c r="P237" s="3">
        <f t="shared" si="25"/>
        <v>41</v>
      </c>
      <c r="Q237" s="2">
        <v>150</v>
      </c>
      <c r="R237" s="2">
        <v>150</v>
      </c>
      <c r="S237" s="2">
        <v>150</v>
      </c>
      <c r="T237" s="2">
        <v>150</v>
      </c>
      <c r="U237" s="2">
        <v>150</v>
      </c>
      <c r="V237" s="2">
        <v>150</v>
      </c>
      <c r="W237" s="2">
        <v>150</v>
      </c>
      <c r="X237" s="2">
        <v>150</v>
      </c>
      <c r="Y237" s="2">
        <v>150</v>
      </c>
      <c r="Z237" s="2">
        <v>150</v>
      </c>
      <c r="AA237" s="2">
        <v>150</v>
      </c>
      <c r="AB237" s="2">
        <v>150</v>
      </c>
      <c r="AC237" s="2">
        <v>150</v>
      </c>
      <c r="AD237" s="2">
        <v>150</v>
      </c>
      <c r="AE237" s="2">
        <v>150</v>
      </c>
      <c r="AF237" s="2">
        <v>150</v>
      </c>
      <c r="AG237" s="2">
        <v>150</v>
      </c>
      <c r="AH237" s="2">
        <v>150</v>
      </c>
      <c r="AI237" s="2">
        <v>150</v>
      </c>
    </row>
    <row r="238" spans="1:69" ht="15.6" x14ac:dyDescent="0.3">
      <c r="A238" s="12" t="s">
        <v>159</v>
      </c>
      <c r="B238" s="2" t="s">
        <v>270</v>
      </c>
      <c r="C238" s="2" t="s">
        <v>244</v>
      </c>
      <c r="E238" s="2" t="s">
        <v>84</v>
      </c>
      <c r="G238" s="5"/>
      <c r="H238" s="17">
        <v>46069</v>
      </c>
      <c r="I238" s="18"/>
      <c r="K238" s="2">
        <v>6000</v>
      </c>
      <c r="L238" s="3">
        <f t="shared" si="23"/>
        <v>4300</v>
      </c>
      <c r="M238" s="20"/>
      <c r="O238" s="6" t="str">
        <f t="shared" si="24"/>
        <v>Open</v>
      </c>
      <c r="P238" s="3">
        <f t="shared" si="25"/>
        <v>43</v>
      </c>
      <c r="Q238" s="2">
        <v>100</v>
      </c>
      <c r="R238" s="2">
        <v>100</v>
      </c>
      <c r="S238" s="2">
        <v>100</v>
      </c>
      <c r="T238" s="2">
        <v>100</v>
      </c>
      <c r="U238" s="2">
        <v>100</v>
      </c>
      <c r="V238" s="2">
        <v>100</v>
      </c>
      <c r="W238" s="2">
        <v>100</v>
      </c>
      <c r="X238" s="2">
        <v>100</v>
      </c>
      <c r="Y238" s="2">
        <v>100</v>
      </c>
      <c r="Z238" s="2">
        <v>100</v>
      </c>
      <c r="AA238" s="2">
        <v>100</v>
      </c>
      <c r="AB238" s="2">
        <v>100</v>
      </c>
      <c r="AC238" s="2">
        <v>100</v>
      </c>
      <c r="AD238" s="2">
        <v>100</v>
      </c>
      <c r="AE238" s="2">
        <v>100</v>
      </c>
      <c r="AF238" s="2">
        <v>100</v>
      </c>
      <c r="AG238" s="2">
        <v>100</v>
      </c>
    </row>
    <row r="239" spans="1:69" ht="15.6" x14ac:dyDescent="0.3">
      <c r="A239" s="12" t="s">
        <v>159</v>
      </c>
      <c r="B239" s="2" t="s">
        <v>270</v>
      </c>
      <c r="C239" s="2" t="s">
        <v>244</v>
      </c>
      <c r="E239" s="2" t="s">
        <v>102</v>
      </c>
      <c r="G239" s="5"/>
      <c r="H239" s="17">
        <v>46069</v>
      </c>
      <c r="I239" s="18"/>
      <c r="K239" s="2">
        <v>9000</v>
      </c>
      <c r="L239" s="3">
        <f t="shared" si="23"/>
        <v>7350</v>
      </c>
      <c r="M239" s="20"/>
      <c r="O239" s="6" t="str">
        <f t="shared" si="24"/>
        <v>Open</v>
      </c>
      <c r="P239" s="3">
        <f t="shared" si="25"/>
        <v>49</v>
      </c>
      <c r="Q239" s="2">
        <v>150</v>
      </c>
      <c r="R239" s="2">
        <v>150</v>
      </c>
      <c r="S239" s="2">
        <v>150</v>
      </c>
      <c r="T239" s="2">
        <v>150</v>
      </c>
      <c r="U239" s="2">
        <v>150</v>
      </c>
      <c r="V239" s="2">
        <v>150</v>
      </c>
      <c r="W239" s="2">
        <v>150</v>
      </c>
      <c r="X239" s="2">
        <v>150</v>
      </c>
      <c r="Y239" s="2">
        <v>150</v>
      </c>
      <c r="Z239" s="2">
        <v>150</v>
      </c>
      <c r="AA239" s="2">
        <v>150</v>
      </c>
    </row>
    <row r="240" spans="1:69" ht="15.6" x14ac:dyDescent="0.3">
      <c r="A240" s="12" t="s">
        <v>159</v>
      </c>
      <c r="B240" s="2" t="s">
        <v>270</v>
      </c>
      <c r="C240" s="2" t="s">
        <v>244</v>
      </c>
      <c r="E240" s="2" t="s">
        <v>197</v>
      </c>
      <c r="G240" s="5"/>
      <c r="H240" s="17">
        <v>46069</v>
      </c>
      <c r="I240" s="18"/>
      <c r="K240" s="2">
        <v>18000</v>
      </c>
      <c r="L240" s="3">
        <f t="shared" si="23"/>
        <v>14700</v>
      </c>
      <c r="M240" s="20"/>
      <c r="O240" s="6" t="str">
        <f t="shared" si="24"/>
        <v>Open</v>
      </c>
      <c r="P240" s="3">
        <f t="shared" si="25"/>
        <v>49</v>
      </c>
      <c r="Q240" s="2">
        <v>300</v>
      </c>
      <c r="R240" s="2">
        <v>300</v>
      </c>
      <c r="S240" s="2">
        <v>300</v>
      </c>
      <c r="T240" s="2">
        <v>300</v>
      </c>
      <c r="U240" s="2">
        <v>300</v>
      </c>
      <c r="V240" s="2">
        <v>300</v>
      </c>
      <c r="W240" s="2">
        <v>300</v>
      </c>
      <c r="X240" s="2">
        <v>300</v>
      </c>
      <c r="Y240" s="2">
        <v>300</v>
      </c>
      <c r="Z240" s="2">
        <v>300</v>
      </c>
      <c r="AA240" s="2">
        <v>300</v>
      </c>
    </row>
    <row r="241" spans="1:73" ht="15.6" x14ac:dyDescent="0.3">
      <c r="A241" s="12" t="s">
        <v>159</v>
      </c>
      <c r="B241" s="2" t="s">
        <v>270</v>
      </c>
      <c r="C241" s="2" t="s">
        <v>244</v>
      </c>
      <c r="E241" s="2" t="s">
        <v>250</v>
      </c>
      <c r="G241" s="5"/>
      <c r="H241" s="17">
        <v>46069</v>
      </c>
      <c r="I241" s="18"/>
      <c r="K241" s="2">
        <v>12000</v>
      </c>
      <c r="L241" s="3">
        <f t="shared" si="23"/>
        <v>9600</v>
      </c>
      <c r="M241" s="20"/>
      <c r="O241" s="6" t="str">
        <f t="shared" si="24"/>
        <v>Open</v>
      </c>
      <c r="P241" s="3">
        <f t="shared" si="25"/>
        <v>48</v>
      </c>
      <c r="Q241" s="2">
        <v>200</v>
      </c>
      <c r="R241" s="2">
        <v>200</v>
      </c>
      <c r="S241" s="2">
        <v>200</v>
      </c>
      <c r="T241" s="2">
        <v>200</v>
      </c>
      <c r="U241" s="2">
        <v>200</v>
      </c>
      <c r="V241" s="2">
        <v>200</v>
      </c>
      <c r="W241" s="2">
        <v>200</v>
      </c>
      <c r="X241" s="2">
        <v>200</v>
      </c>
      <c r="Y241" s="2">
        <v>200</v>
      </c>
      <c r="Z241" s="2">
        <v>200</v>
      </c>
      <c r="AA241" s="2">
        <v>200</v>
      </c>
      <c r="AB241" s="2">
        <v>200</v>
      </c>
    </row>
    <row r="242" spans="1:73" ht="15.6" x14ac:dyDescent="0.3">
      <c r="A242" s="12" t="s">
        <v>159</v>
      </c>
      <c r="B242" s="2" t="s">
        <v>270</v>
      </c>
      <c r="C242" s="2" t="s">
        <v>244</v>
      </c>
      <c r="E242" s="2" t="s">
        <v>117</v>
      </c>
      <c r="G242" s="5"/>
      <c r="H242" s="17">
        <v>46069</v>
      </c>
      <c r="I242" s="18"/>
      <c r="K242" s="2">
        <v>6000</v>
      </c>
      <c r="L242" s="3">
        <f t="shared" si="23"/>
        <v>5000</v>
      </c>
      <c r="M242" s="20"/>
      <c r="O242" s="6" t="str">
        <f t="shared" si="24"/>
        <v>Open</v>
      </c>
      <c r="P242" s="3">
        <f t="shared" si="25"/>
        <v>50</v>
      </c>
      <c r="Q242" s="2">
        <v>100</v>
      </c>
      <c r="R242" s="2">
        <v>100</v>
      </c>
      <c r="S242" s="2">
        <v>100</v>
      </c>
      <c r="T242" s="2">
        <v>100</v>
      </c>
      <c r="U242" s="2">
        <v>100</v>
      </c>
      <c r="V242" s="2">
        <v>100</v>
      </c>
      <c r="W242" s="2">
        <v>100</v>
      </c>
      <c r="X242" s="2">
        <v>100</v>
      </c>
      <c r="Y242" s="2">
        <v>100</v>
      </c>
      <c r="Z242" s="2">
        <v>100</v>
      </c>
    </row>
    <row r="243" spans="1:73" ht="15.6" x14ac:dyDescent="0.3">
      <c r="A243" s="12" t="s">
        <v>159</v>
      </c>
      <c r="B243" s="2" t="s">
        <v>270</v>
      </c>
      <c r="C243" s="2" t="s">
        <v>251</v>
      </c>
      <c r="E243" s="2" t="s">
        <v>252</v>
      </c>
      <c r="G243" s="5"/>
      <c r="H243" s="17">
        <v>46069</v>
      </c>
      <c r="I243" s="18"/>
      <c r="K243" s="2">
        <v>6000</v>
      </c>
      <c r="L243" s="3">
        <f t="shared" si="23"/>
        <v>2200</v>
      </c>
      <c r="M243" s="20"/>
      <c r="O243" s="6" t="str">
        <f t="shared" si="24"/>
        <v>Open</v>
      </c>
      <c r="P243" s="3">
        <f t="shared" si="25"/>
        <v>22</v>
      </c>
      <c r="Q243" s="2">
        <v>100</v>
      </c>
      <c r="R243" s="2">
        <v>100</v>
      </c>
      <c r="S243" s="2">
        <v>100</v>
      </c>
      <c r="T243" s="2">
        <v>100</v>
      </c>
      <c r="U243" s="2">
        <v>100</v>
      </c>
      <c r="V243" s="2">
        <v>100</v>
      </c>
      <c r="W243" s="2">
        <v>100</v>
      </c>
      <c r="X243" s="2">
        <v>100</v>
      </c>
      <c r="Y243" s="2">
        <v>100</v>
      </c>
      <c r="Z243" s="2">
        <v>100</v>
      </c>
      <c r="AA243" s="2">
        <v>100</v>
      </c>
      <c r="AB243" s="2">
        <v>100</v>
      </c>
      <c r="AC243" s="2">
        <v>100</v>
      </c>
      <c r="AD243" s="2">
        <v>100</v>
      </c>
      <c r="AE243" s="2">
        <v>100</v>
      </c>
      <c r="AF243" s="2">
        <v>100</v>
      </c>
      <c r="AG243" s="2">
        <v>100</v>
      </c>
      <c r="AH243" s="2">
        <v>100</v>
      </c>
      <c r="AI243" s="2">
        <v>100</v>
      </c>
      <c r="AJ243" s="2">
        <v>100</v>
      </c>
      <c r="AK243" s="2">
        <v>100</v>
      </c>
      <c r="AL243" s="2">
        <v>100</v>
      </c>
      <c r="AM243" s="2">
        <v>100</v>
      </c>
      <c r="AN243" s="2">
        <v>100</v>
      </c>
      <c r="AO243" s="2">
        <v>100</v>
      </c>
      <c r="AP243" s="2">
        <v>100</v>
      </c>
      <c r="AQ243" s="2">
        <v>100</v>
      </c>
      <c r="AR243" s="2">
        <v>100</v>
      </c>
      <c r="AS243" s="2">
        <v>100</v>
      </c>
      <c r="AT243" s="2">
        <v>100</v>
      </c>
      <c r="AU243" s="2">
        <v>100</v>
      </c>
      <c r="AV243" s="2">
        <v>100</v>
      </c>
      <c r="AW243" s="2">
        <v>100</v>
      </c>
      <c r="AX243" s="2">
        <v>100</v>
      </c>
      <c r="AY243" s="2">
        <v>100</v>
      </c>
      <c r="AZ243" s="2">
        <v>100</v>
      </c>
      <c r="BA243" s="2">
        <v>100</v>
      </c>
      <c r="BB243" s="2">
        <v>100</v>
      </c>
    </row>
    <row r="244" spans="1:73" ht="15.6" x14ac:dyDescent="0.3">
      <c r="A244" s="12" t="s">
        <v>159</v>
      </c>
      <c r="B244" s="2" t="s">
        <v>270</v>
      </c>
      <c r="C244" s="2" t="s">
        <v>251</v>
      </c>
      <c r="E244" s="2" t="s">
        <v>253</v>
      </c>
      <c r="G244" s="5"/>
      <c r="H244" s="17">
        <v>46069</v>
      </c>
      <c r="I244" s="18"/>
      <c r="K244" s="2">
        <v>12000</v>
      </c>
      <c r="L244" s="3">
        <f t="shared" si="23"/>
        <v>8000</v>
      </c>
      <c r="M244" s="20"/>
      <c r="O244" s="6" t="str">
        <f t="shared" si="24"/>
        <v>Open</v>
      </c>
      <c r="P244" s="3">
        <f t="shared" si="25"/>
        <v>40</v>
      </c>
      <c r="Q244" s="2">
        <v>200</v>
      </c>
      <c r="R244" s="2">
        <v>200</v>
      </c>
      <c r="S244" s="2">
        <v>200</v>
      </c>
      <c r="T244" s="2">
        <v>200</v>
      </c>
      <c r="U244" s="2">
        <v>200</v>
      </c>
      <c r="V244" s="2">
        <v>200</v>
      </c>
      <c r="W244" s="2">
        <v>200</v>
      </c>
      <c r="X244" s="2">
        <v>200</v>
      </c>
      <c r="Y244" s="2">
        <v>200</v>
      </c>
      <c r="Z244" s="2">
        <v>200</v>
      </c>
      <c r="AA244" s="2">
        <v>200</v>
      </c>
      <c r="AB244" s="2">
        <v>200</v>
      </c>
      <c r="AC244" s="2">
        <v>200</v>
      </c>
      <c r="AD244" s="2">
        <v>200</v>
      </c>
      <c r="AE244" s="2">
        <v>200</v>
      </c>
      <c r="AF244" s="2">
        <v>200</v>
      </c>
      <c r="AG244" s="2">
        <v>200</v>
      </c>
      <c r="AH244" s="2">
        <v>200</v>
      </c>
      <c r="AI244" s="2">
        <v>200</v>
      </c>
      <c r="AJ244" s="2">
        <v>200</v>
      </c>
    </row>
    <row r="245" spans="1:73" ht="15.6" x14ac:dyDescent="0.3">
      <c r="A245" s="12" t="s">
        <v>159</v>
      </c>
      <c r="B245" s="2" t="s">
        <v>270</v>
      </c>
      <c r="C245" s="2" t="s">
        <v>251</v>
      </c>
      <c r="E245" s="2" t="s">
        <v>189</v>
      </c>
      <c r="G245" s="5"/>
      <c r="H245" s="17">
        <v>46069</v>
      </c>
      <c r="I245" s="18"/>
      <c r="K245" s="2">
        <v>12000</v>
      </c>
      <c r="L245" s="3">
        <f t="shared" si="23"/>
        <v>11800</v>
      </c>
      <c r="M245" s="20"/>
      <c r="O245" s="6" t="str">
        <f t="shared" si="24"/>
        <v>Open</v>
      </c>
      <c r="P245" s="3">
        <f t="shared" si="25"/>
        <v>59</v>
      </c>
      <c r="Q245" s="2">
        <v>200</v>
      </c>
    </row>
    <row r="246" spans="1:73" ht="15.6" x14ac:dyDescent="0.3">
      <c r="A246" s="12" t="s">
        <v>159</v>
      </c>
      <c r="B246" s="2" t="s">
        <v>270</v>
      </c>
      <c r="C246" s="2" t="s">
        <v>251</v>
      </c>
      <c r="E246" s="2" t="s">
        <v>254</v>
      </c>
      <c r="G246" s="5"/>
      <c r="H246" s="17">
        <v>46069</v>
      </c>
      <c r="I246" s="18"/>
      <c r="K246" s="2">
        <v>6000</v>
      </c>
      <c r="L246" s="3">
        <f t="shared" si="23"/>
        <v>3200</v>
      </c>
      <c r="M246" s="20"/>
      <c r="O246" s="6" t="str">
        <f t="shared" si="24"/>
        <v>Open</v>
      </c>
      <c r="P246" s="3">
        <f t="shared" si="25"/>
        <v>32</v>
      </c>
      <c r="Q246" s="2">
        <v>100</v>
      </c>
      <c r="R246" s="2">
        <v>100</v>
      </c>
      <c r="S246" s="2">
        <v>100</v>
      </c>
      <c r="T246" s="2">
        <v>100</v>
      </c>
      <c r="U246" s="2">
        <v>100</v>
      </c>
      <c r="V246" s="2">
        <v>100</v>
      </c>
      <c r="W246" s="2">
        <v>100</v>
      </c>
      <c r="X246" s="2">
        <v>100</v>
      </c>
      <c r="Y246" s="2">
        <v>100</v>
      </c>
      <c r="Z246" s="2">
        <v>100</v>
      </c>
      <c r="AA246" s="2">
        <v>100</v>
      </c>
      <c r="AB246" s="2">
        <v>100</v>
      </c>
      <c r="AC246" s="2">
        <v>100</v>
      </c>
      <c r="AD246" s="2">
        <v>100</v>
      </c>
      <c r="AE246" s="2">
        <v>100</v>
      </c>
      <c r="AF246" s="2">
        <v>100</v>
      </c>
      <c r="AG246" s="2">
        <v>100</v>
      </c>
      <c r="AH246" s="2">
        <v>100</v>
      </c>
      <c r="AI246" s="2">
        <v>100</v>
      </c>
      <c r="AJ246" s="2">
        <v>100</v>
      </c>
      <c r="AK246" s="2">
        <v>100</v>
      </c>
      <c r="AL246" s="2">
        <v>100</v>
      </c>
      <c r="AM246" s="2">
        <v>100</v>
      </c>
      <c r="AN246" s="2">
        <v>100</v>
      </c>
      <c r="AO246" s="2">
        <v>100</v>
      </c>
      <c r="AP246" s="2">
        <v>100</v>
      </c>
      <c r="AQ246" s="2">
        <v>100</v>
      </c>
      <c r="AR246" s="2">
        <v>100</v>
      </c>
    </row>
    <row r="247" spans="1:73" ht="15.6" x14ac:dyDescent="0.3">
      <c r="A247" s="12" t="s">
        <v>159</v>
      </c>
      <c r="B247" s="2" t="s">
        <v>270</v>
      </c>
      <c r="C247" s="2" t="s">
        <v>251</v>
      </c>
      <c r="E247" s="2" t="s">
        <v>255</v>
      </c>
      <c r="G247" s="5"/>
      <c r="H247" s="17">
        <v>46069</v>
      </c>
      <c r="I247" s="18"/>
      <c r="K247" s="2">
        <v>6000</v>
      </c>
      <c r="L247" s="3">
        <f t="shared" si="23"/>
        <v>4000</v>
      </c>
      <c r="M247" s="20"/>
      <c r="O247" s="6" t="str">
        <f t="shared" si="24"/>
        <v>Open</v>
      </c>
      <c r="P247" s="3">
        <f t="shared" si="25"/>
        <v>50</v>
      </c>
      <c r="Q247" s="2">
        <v>200</v>
      </c>
      <c r="R247" s="2">
        <v>200</v>
      </c>
      <c r="S247" s="2">
        <v>200</v>
      </c>
      <c r="T247" s="2">
        <v>200</v>
      </c>
      <c r="U247" s="2">
        <v>200</v>
      </c>
      <c r="V247" s="2">
        <v>200</v>
      </c>
      <c r="W247" s="2">
        <v>200</v>
      </c>
      <c r="X247" s="2">
        <v>200</v>
      </c>
      <c r="Y247" s="2">
        <v>200</v>
      </c>
      <c r="Z247" s="2">
        <v>200</v>
      </c>
    </row>
    <row r="248" spans="1:73" ht="15.6" x14ac:dyDescent="0.3">
      <c r="A248" s="12" t="s">
        <v>159</v>
      </c>
      <c r="B248" s="2" t="s">
        <v>270</v>
      </c>
      <c r="C248" s="2" t="s">
        <v>251</v>
      </c>
      <c r="E248" s="2" t="s">
        <v>256</v>
      </c>
      <c r="G248" s="5"/>
      <c r="H248" s="17">
        <v>46069</v>
      </c>
      <c r="I248" s="18"/>
      <c r="K248" s="2">
        <v>12000</v>
      </c>
      <c r="L248" s="3">
        <f t="shared" si="23"/>
        <v>5600</v>
      </c>
      <c r="M248" s="20"/>
      <c r="O248" s="6" t="str">
        <f t="shared" si="24"/>
        <v>Open</v>
      </c>
      <c r="P248" s="3">
        <f t="shared" si="25"/>
        <v>28</v>
      </c>
      <c r="Q248" s="2">
        <v>200</v>
      </c>
      <c r="R248" s="2">
        <v>200</v>
      </c>
      <c r="S248" s="2">
        <v>200</v>
      </c>
      <c r="T248" s="2">
        <v>200</v>
      </c>
      <c r="U248" s="2">
        <v>200</v>
      </c>
      <c r="V248" s="2">
        <v>200</v>
      </c>
      <c r="W248" s="2">
        <v>200</v>
      </c>
      <c r="X248" s="2">
        <v>200</v>
      </c>
      <c r="Y248" s="2">
        <v>200</v>
      </c>
      <c r="Z248" s="2">
        <v>200</v>
      </c>
      <c r="AA248" s="2">
        <v>200</v>
      </c>
      <c r="AB248" s="2">
        <v>200</v>
      </c>
      <c r="AC248" s="2">
        <v>200</v>
      </c>
      <c r="AD248" s="2">
        <v>200</v>
      </c>
      <c r="AE248" s="2">
        <v>200</v>
      </c>
      <c r="AF248" s="2">
        <v>200</v>
      </c>
      <c r="AG248" s="2">
        <v>200</v>
      </c>
      <c r="AH248" s="2">
        <v>200</v>
      </c>
      <c r="AI248" s="2">
        <v>200</v>
      </c>
      <c r="AJ248" s="2">
        <v>200</v>
      </c>
      <c r="AK248" s="2">
        <v>200</v>
      </c>
      <c r="AL248" s="2">
        <v>200</v>
      </c>
      <c r="AM248" s="2">
        <v>200</v>
      </c>
      <c r="AN248" s="2">
        <v>200</v>
      </c>
      <c r="AO248" s="2">
        <v>200</v>
      </c>
      <c r="AP248" s="2">
        <v>200</v>
      </c>
      <c r="AQ248" s="2">
        <v>200</v>
      </c>
      <c r="AR248" s="2">
        <v>200</v>
      </c>
      <c r="AS248" s="2">
        <v>200</v>
      </c>
      <c r="AT248" s="2">
        <v>200</v>
      </c>
      <c r="AU248" s="2">
        <v>200</v>
      </c>
      <c r="AV248" s="2">
        <v>200</v>
      </c>
    </row>
    <row r="249" spans="1:73" ht="15.6" x14ac:dyDescent="0.3">
      <c r="A249" s="12" t="s">
        <v>159</v>
      </c>
      <c r="B249" s="2" t="s">
        <v>270</v>
      </c>
      <c r="C249" s="2" t="s">
        <v>257</v>
      </c>
      <c r="E249" s="2" t="s">
        <v>258</v>
      </c>
      <c r="G249" s="5"/>
      <c r="H249" s="17">
        <v>46069</v>
      </c>
      <c r="I249" s="18"/>
      <c r="K249" s="2">
        <v>18000</v>
      </c>
      <c r="L249" s="3">
        <f t="shared" si="23"/>
        <v>7200</v>
      </c>
      <c r="M249" s="20"/>
      <c r="O249" s="6" t="str">
        <f t="shared" si="24"/>
        <v>Open</v>
      </c>
      <c r="P249" s="3">
        <f t="shared" si="25"/>
        <v>24</v>
      </c>
      <c r="Q249" s="2">
        <v>300</v>
      </c>
      <c r="R249" s="2">
        <v>300</v>
      </c>
      <c r="S249" s="2">
        <v>300</v>
      </c>
      <c r="T249" s="2">
        <v>300</v>
      </c>
      <c r="U249" s="2">
        <v>300</v>
      </c>
      <c r="V249" s="2">
        <v>300</v>
      </c>
      <c r="W249" s="2">
        <v>300</v>
      </c>
      <c r="X249" s="2">
        <v>300</v>
      </c>
      <c r="Y249" s="2">
        <v>300</v>
      </c>
      <c r="Z249" s="2">
        <v>300</v>
      </c>
      <c r="AA249" s="2">
        <v>300</v>
      </c>
      <c r="AB249" s="2">
        <v>300</v>
      </c>
      <c r="AC249" s="2">
        <v>300</v>
      </c>
      <c r="AD249" s="2">
        <v>300</v>
      </c>
      <c r="AE249" s="2">
        <v>300</v>
      </c>
      <c r="AF249" s="2">
        <v>300</v>
      </c>
      <c r="AG249" s="2">
        <v>300</v>
      </c>
      <c r="AH249" s="2">
        <v>300</v>
      </c>
      <c r="AI249" s="2">
        <v>300</v>
      </c>
      <c r="AJ249" s="2">
        <v>300</v>
      </c>
      <c r="AK249" s="2">
        <v>300</v>
      </c>
      <c r="AL249" s="2">
        <v>300</v>
      </c>
      <c r="AM249" s="2">
        <v>300</v>
      </c>
      <c r="AN249" s="2">
        <v>300</v>
      </c>
      <c r="AO249" s="2">
        <v>300</v>
      </c>
      <c r="AP249" s="2">
        <v>300</v>
      </c>
      <c r="AQ249" s="2">
        <v>300</v>
      </c>
      <c r="AR249" s="2">
        <v>300</v>
      </c>
      <c r="AS249" s="2">
        <v>300</v>
      </c>
      <c r="AT249" s="2">
        <v>300</v>
      </c>
      <c r="AU249" s="2">
        <v>300</v>
      </c>
      <c r="AV249" s="2">
        <v>300</v>
      </c>
      <c r="AW249" s="2">
        <v>300</v>
      </c>
      <c r="AX249" s="2">
        <v>300</v>
      </c>
      <c r="AY249" s="2">
        <v>300</v>
      </c>
      <c r="AZ249" s="2">
        <v>300</v>
      </c>
    </row>
    <row r="250" spans="1:73" ht="15.6" x14ac:dyDescent="0.3">
      <c r="A250" s="12" t="s">
        <v>159</v>
      </c>
      <c r="B250" s="2" t="s">
        <v>270</v>
      </c>
      <c r="C250" s="2" t="s">
        <v>257</v>
      </c>
      <c r="E250" s="2" t="s">
        <v>259</v>
      </c>
      <c r="G250" s="5"/>
      <c r="H250" s="17">
        <v>46069</v>
      </c>
      <c r="I250" s="18"/>
      <c r="K250" s="2">
        <v>18000</v>
      </c>
      <c r="L250" s="3">
        <f t="shared" si="23"/>
        <v>14100</v>
      </c>
      <c r="M250" s="20"/>
      <c r="O250" s="6" t="str">
        <f t="shared" si="24"/>
        <v>Open</v>
      </c>
      <c r="P250" s="3">
        <f t="shared" si="25"/>
        <v>47</v>
      </c>
      <c r="Q250" s="2">
        <v>300</v>
      </c>
      <c r="R250" s="2">
        <v>300</v>
      </c>
      <c r="S250" s="2">
        <v>300</v>
      </c>
      <c r="T250" s="2">
        <v>300</v>
      </c>
      <c r="U250" s="2">
        <v>300</v>
      </c>
      <c r="V250" s="2">
        <v>300</v>
      </c>
      <c r="W250" s="2">
        <v>300</v>
      </c>
      <c r="X250" s="2">
        <v>300</v>
      </c>
      <c r="Y250" s="2">
        <v>300</v>
      </c>
      <c r="Z250" s="2">
        <v>300</v>
      </c>
      <c r="AA250" s="2">
        <v>300</v>
      </c>
      <c r="AB250" s="2">
        <v>300</v>
      </c>
      <c r="AC250" s="2">
        <v>300</v>
      </c>
    </row>
    <row r="251" spans="1:73" ht="15.6" x14ac:dyDescent="0.3">
      <c r="A251" s="12" t="s">
        <v>159</v>
      </c>
      <c r="B251" s="2" t="s">
        <v>270</v>
      </c>
      <c r="C251" s="2" t="s">
        <v>257</v>
      </c>
      <c r="E251" s="2" t="s">
        <v>260</v>
      </c>
      <c r="G251" s="5"/>
      <c r="H251" s="17">
        <v>46069</v>
      </c>
      <c r="I251" s="18"/>
      <c r="K251" s="2">
        <v>6000</v>
      </c>
      <c r="L251" s="3">
        <f t="shared" si="23"/>
        <v>5200</v>
      </c>
      <c r="M251" s="20"/>
      <c r="O251" s="6" t="str">
        <f t="shared" si="24"/>
        <v>Open</v>
      </c>
      <c r="P251" s="3">
        <f t="shared" si="25"/>
        <v>52</v>
      </c>
      <c r="Q251" s="2">
        <v>100</v>
      </c>
      <c r="R251" s="2">
        <v>100</v>
      </c>
      <c r="S251" s="2">
        <v>100</v>
      </c>
      <c r="T251" s="2">
        <v>100</v>
      </c>
      <c r="U251" s="2">
        <v>100</v>
      </c>
      <c r="V251" s="2">
        <v>100</v>
      </c>
      <c r="W251" s="2">
        <v>100</v>
      </c>
      <c r="X251" s="2">
        <v>100</v>
      </c>
    </row>
    <row r="252" spans="1:73" ht="15.6" x14ac:dyDescent="0.3">
      <c r="A252" s="12" t="s">
        <v>159</v>
      </c>
      <c r="B252" s="2" t="s">
        <v>270</v>
      </c>
      <c r="C252" s="2" t="s">
        <v>261</v>
      </c>
      <c r="E252" s="2" t="s">
        <v>250</v>
      </c>
      <c r="G252" s="5"/>
      <c r="H252" s="17">
        <v>46069</v>
      </c>
      <c r="I252" s="18"/>
      <c r="K252" s="2">
        <v>18000</v>
      </c>
      <c r="L252" s="3">
        <f t="shared" si="23"/>
        <v>900</v>
      </c>
      <c r="M252" s="20"/>
      <c r="O252" s="6" t="str">
        <f t="shared" si="24"/>
        <v>Open</v>
      </c>
      <c r="P252" s="3">
        <f t="shared" si="25"/>
        <v>3</v>
      </c>
      <c r="Q252" s="2">
        <v>300</v>
      </c>
      <c r="R252" s="2">
        <v>300</v>
      </c>
      <c r="S252" s="2">
        <v>300</v>
      </c>
      <c r="T252" s="2">
        <v>300</v>
      </c>
      <c r="U252" s="2">
        <v>300</v>
      </c>
      <c r="V252" s="2">
        <v>300</v>
      </c>
      <c r="W252" s="2">
        <v>300</v>
      </c>
      <c r="X252" s="2">
        <v>300</v>
      </c>
      <c r="Y252" s="2">
        <v>300</v>
      </c>
      <c r="Z252" s="2">
        <v>300</v>
      </c>
      <c r="AA252" s="2">
        <v>300</v>
      </c>
      <c r="AB252" s="2">
        <v>300</v>
      </c>
      <c r="AC252" s="2">
        <v>300</v>
      </c>
      <c r="AD252" s="2">
        <v>300</v>
      </c>
      <c r="AE252" s="2">
        <v>300</v>
      </c>
      <c r="AF252" s="2">
        <v>300</v>
      </c>
      <c r="AG252" s="2">
        <v>300</v>
      </c>
      <c r="AH252" s="2">
        <v>300</v>
      </c>
      <c r="AI252" s="2">
        <v>300</v>
      </c>
      <c r="AJ252" s="2">
        <v>300</v>
      </c>
      <c r="AK252" s="2">
        <v>300</v>
      </c>
      <c r="AL252" s="2">
        <v>300</v>
      </c>
      <c r="AM252" s="2">
        <v>300</v>
      </c>
      <c r="AN252" s="2">
        <v>300</v>
      </c>
      <c r="AO252" s="2">
        <v>300</v>
      </c>
      <c r="AP252" s="2">
        <v>300</v>
      </c>
      <c r="AQ252" s="2">
        <v>300</v>
      </c>
      <c r="AR252" s="2">
        <v>300</v>
      </c>
      <c r="AS252" s="2">
        <v>300</v>
      </c>
      <c r="AT252" s="2">
        <v>300</v>
      </c>
      <c r="AU252" s="2">
        <v>300</v>
      </c>
      <c r="AV252" s="2">
        <v>300</v>
      </c>
      <c r="AW252" s="2">
        <v>300</v>
      </c>
      <c r="AX252" s="2">
        <v>300</v>
      </c>
      <c r="AY252" s="2">
        <v>300</v>
      </c>
      <c r="AZ252" s="2">
        <v>300</v>
      </c>
      <c r="BA252" s="2">
        <v>300</v>
      </c>
      <c r="BB252" s="2">
        <v>300</v>
      </c>
      <c r="BC252" s="2">
        <v>300</v>
      </c>
      <c r="BD252" s="2">
        <v>300</v>
      </c>
      <c r="BE252" s="2">
        <v>300</v>
      </c>
      <c r="BF252" s="2">
        <v>300</v>
      </c>
      <c r="BG252" s="2">
        <v>300</v>
      </c>
      <c r="BH252" s="2">
        <v>300</v>
      </c>
      <c r="BI252" s="2">
        <v>300</v>
      </c>
      <c r="BJ252" s="2">
        <v>300</v>
      </c>
      <c r="BK252" s="2">
        <v>300</v>
      </c>
      <c r="BL252" s="2">
        <v>300</v>
      </c>
      <c r="BM252" s="2">
        <v>300</v>
      </c>
      <c r="BN252" s="2">
        <v>300</v>
      </c>
      <c r="BO252" s="2">
        <v>300</v>
      </c>
      <c r="BP252" s="2">
        <v>300</v>
      </c>
      <c r="BQ252" s="2">
        <v>300</v>
      </c>
      <c r="BR252" s="2">
        <v>300</v>
      </c>
      <c r="BS252" s="2">
        <v>300</v>
      </c>
      <c r="BT252" s="2">
        <v>300</v>
      </c>
      <c r="BU252" s="2">
        <v>300</v>
      </c>
    </row>
    <row r="253" spans="1:73" ht="15.6" x14ac:dyDescent="0.3">
      <c r="A253" s="12" t="s">
        <v>159</v>
      </c>
      <c r="B253" s="2" t="s">
        <v>270</v>
      </c>
      <c r="C253" s="2" t="s">
        <v>261</v>
      </c>
      <c r="E253" s="2" t="s">
        <v>98</v>
      </c>
      <c r="G253" s="5"/>
      <c r="H253" s="17">
        <v>46069</v>
      </c>
      <c r="I253" s="18"/>
      <c r="K253" s="2">
        <v>18000</v>
      </c>
      <c r="L253" s="3">
        <f t="shared" si="23"/>
        <v>3000</v>
      </c>
      <c r="M253" s="20"/>
      <c r="O253" s="6" t="str">
        <f t="shared" si="24"/>
        <v>Open</v>
      </c>
      <c r="P253" s="3">
        <f t="shared" si="25"/>
        <v>10</v>
      </c>
      <c r="Q253" s="2">
        <v>300</v>
      </c>
      <c r="R253" s="2">
        <v>300</v>
      </c>
      <c r="S253" s="2">
        <v>300</v>
      </c>
      <c r="T253" s="2">
        <v>300</v>
      </c>
      <c r="U253" s="2">
        <v>300</v>
      </c>
      <c r="V253" s="2">
        <v>300</v>
      </c>
      <c r="W253" s="2">
        <v>300</v>
      </c>
      <c r="X253" s="2">
        <v>300</v>
      </c>
      <c r="Y253" s="2">
        <v>300</v>
      </c>
      <c r="Z253" s="2">
        <v>300</v>
      </c>
      <c r="AA253" s="2">
        <v>300</v>
      </c>
      <c r="AB253" s="2">
        <v>300</v>
      </c>
      <c r="AC253" s="2">
        <v>300</v>
      </c>
      <c r="AD253" s="2">
        <v>300</v>
      </c>
      <c r="AE253" s="2">
        <v>300</v>
      </c>
      <c r="AF253" s="2">
        <v>300</v>
      </c>
      <c r="AG253" s="2">
        <v>300</v>
      </c>
      <c r="AH253" s="2">
        <v>300</v>
      </c>
      <c r="AI253" s="2">
        <v>300</v>
      </c>
      <c r="AJ253" s="2">
        <v>300</v>
      </c>
      <c r="AK253" s="2">
        <v>300</v>
      </c>
      <c r="AL253" s="2">
        <v>300</v>
      </c>
      <c r="AM253" s="2">
        <v>300</v>
      </c>
      <c r="AN253" s="2">
        <v>300</v>
      </c>
      <c r="AO253" s="2">
        <v>300</v>
      </c>
      <c r="AP253" s="2">
        <v>300</v>
      </c>
      <c r="AQ253" s="2">
        <v>300</v>
      </c>
      <c r="AR253" s="2">
        <v>300</v>
      </c>
      <c r="AS253" s="2">
        <v>300</v>
      </c>
      <c r="AT253" s="2">
        <v>300</v>
      </c>
      <c r="AU253" s="2">
        <v>300</v>
      </c>
      <c r="AV253" s="2">
        <v>300</v>
      </c>
      <c r="AW253" s="2">
        <v>300</v>
      </c>
      <c r="AX253" s="2">
        <v>300</v>
      </c>
      <c r="AY253" s="2">
        <v>300</v>
      </c>
      <c r="AZ253" s="2">
        <v>300</v>
      </c>
      <c r="BA253" s="2">
        <v>300</v>
      </c>
      <c r="BB253" s="2">
        <v>300</v>
      </c>
      <c r="BC253" s="2">
        <v>300</v>
      </c>
      <c r="BD253" s="2">
        <v>300</v>
      </c>
      <c r="BE253" s="2">
        <v>300</v>
      </c>
      <c r="BF253" s="2">
        <v>300</v>
      </c>
      <c r="BG253" s="2">
        <v>300</v>
      </c>
      <c r="BH253" s="2">
        <v>300</v>
      </c>
      <c r="BI253" s="2">
        <v>300</v>
      </c>
      <c r="BJ253" s="2">
        <v>300</v>
      </c>
      <c r="BK253" s="2">
        <v>300</v>
      </c>
      <c r="BL253" s="2">
        <v>300</v>
      </c>
      <c r="BM253" s="2">
        <v>300</v>
      </c>
      <c r="BN253" s="2">
        <v>300</v>
      </c>
    </row>
    <row r="254" spans="1:73" ht="15.6" x14ac:dyDescent="0.3">
      <c r="A254" s="12" t="s">
        <v>159</v>
      </c>
      <c r="B254" s="2" t="s">
        <v>270</v>
      </c>
      <c r="C254" s="2" t="s">
        <v>261</v>
      </c>
      <c r="E254" s="2" t="s">
        <v>94</v>
      </c>
      <c r="G254" s="5"/>
      <c r="H254" s="17">
        <v>46069</v>
      </c>
      <c r="I254" s="18"/>
      <c r="K254" s="2">
        <v>12000</v>
      </c>
      <c r="L254" s="3">
        <f t="shared" si="23"/>
        <v>6800</v>
      </c>
      <c r="M254" s="20"/>
      <c r="O254" s="6" t="str">
        <f t="shared" si="24"/>
        <v>Open</v>
      </c>
      <c r="P254" s="3">
        <f t="shared" si="25"/>
        <v>34</v>
      </c>
      <c r="Q254" s="2">
        <v>200</v>
      </c>
      <c r="R254" s="2">
        <v>200</v>
      </c>
      <c r="S254" s="2">
        <v>200</v>
      </c>
      <c r="T254" s="2">
        <v>200</v>
      </c>
      <c r="U254" s="2">
        <v>200</v>
      </c>
      <c r="V254" s="2">
        <v>200</v>
      </c>
      <c r="W254" s="2">
        <v>200</v>
      </c>
      <c r="X254" s="2">
        <v>200</v>
      </c>
      <c r="Y254" s="2">
        <v>200</v>
      </c>
      <c r="Z254" s="2">
        <v>200</v>
      </c>
      <c r="AA254" s="2">
        <v>200</v>
      </c>
      <c r="AB254" s="2">
        <v>200</v>
      </c>
      <c r="AC254" s="2">
        <v>200</v>
      </c>
      <c r="AD254" s="2">
        <v>200</v>
      </c>
      <c r="AE254" s="2">
        <v>200</v>
      </c>
      <c r="AF254" s="2">
        <v>200</v>
      </c>
      <c r="AG254" s="2">
        <v>200</v>
      </c>
      <c r="AH254" s="2">
        <v>200</v>
      </c>
      <c r="AI254" s="2">
        <v>200</v>
      </c>
      <c r="AJ254" s="2">
        <v>200</v>
      </c>
      <c r="AK254" s="2">
        <v>200</v>
      </c>
      <c r="AL254" s="2">
        <v>200</v>
      </c>
      <c r="AM254" s="2">
        <v>200</v>
      </c>
      <c r="AN254" s="2">
        <v>200</v>
      </c>
      <c r="AO254" s="2">
        <v>200</v>
      </c>
      <c r="AP254" s="2">
        <v>200</v>
      </c>
    </row>
    <row r="255" spans="1:73" ht="15.6" x14ac:dyDescent="0.3">
      <c r="A255" s="12" t="s">
        <v>159</v>
      </c>
      <c r="B255" s="2" t="s">
        <v>270</v>
      </c>
      <c r="C255" s="2" t="s">
        <v>262</v>
      </c>
      <c r="E255" s="2" t="s">
        <v>135</v>
      </c>
      <c r="G255" s="5"/>
      <c r="H255" s="17">
        <v>46069</v>
      </c>
      <c r="I255" s="18"/>
      <c r="K255" s="2">
        <v>6000</v>
      </c>
      <c r="L255" s="3">
        <f t="shared" si="23"/>
        <v>800</v>
      </c>
      <c r="M255" s="20"/>
      <c r="O255" s="6" t="str">
        <f t="shared" si="24"/>
        <v>Open</v>
      </c>
      <c r="P255" s="3">
        <f t="shared" si="25"/>
        <v>8</v>
      </c>
      <c r="Q255" s="2">
        <v>100</v>
      </c>
      <c r="R255" s="2">
        <v>100</v>
      </c>
      <c r="S255" s="2">
        <v>100</v>
      </c>
      <c r="T255" s="2">
        <v>100</v>
      </c>
      <c r="U255" s="2">
        <v>100</v>
      </c>
      <c r="V255" s="2">
        <v>100</v>
      </c>
      <c r="W255" s="2">
        <v>100</v>
      </c>
      <c r="X255" s="2">
        <v>100</v>
      </c>
      <c r="Y255" s="2">
        <v>100</v>
      </c>
      <c r="Z255" s="2">
        <v>100</v>
      </c>
      <c r="AA255" s="2">
        <v>100</v>
      </c>
      <c r="AB255" s="2">
        <v>100</v>
      </c>
      <c r="AC255" s="2">
        <v>100</v>
      </c>
      <c r="AD255" s="2">
        <v>100</v>
      </c>
      <c r="AE255" s="2">
        <v>100</v>
      </c>
      <c r="AF255" s="2">
        <v>100</v>
      </c>
      <c r="AG255" s="2">
        <v>100</v>
      </c>
      <c r="AH255" s="2">
        <v>100</v>
      </c>
      <c r="AI255" s="2">
        <v>100</v>
      </c>
      <c r="AJ255" s="2">
        <v>100</v>
      </c>
      <c r="AK255" s="2">
        <v>100</v>
      </c>
      <c r="AL255" s="2">
        <v>100</v>
      </c>
      <c r="AM255" s="2">
        <v>100</v>
      </c>
      <c r="AN255" s="2">
        <v>100</v>
      </c>
      <c r="AO255" s="2">
        <v>100</v>
      </c>
      <c r="AP255" s="2">
        <v>100</v>
      </c>
      <c r="AQ255" s="2">
        <v>100</v>
      </c>
      <c r="AR255" s="2">
        <v>100</v>
      </c>
      <c r="AS255" s="2">
        <v>100</v>
      </c>
      <c r="AT255" s="2">
        <v>100</v>
      </c>
      <c r="AU255" s="2">
        <v>100</v>
      </c>
      <c r="AV255" s="2">
        <v>100</v>
      </c>
      <c r="AW255" s="2">
        <v>100</v>
      </c>
      <c r="AX255" s="2">
        <v>100</v>
      </c>
      <c r="AY255" s="2">
        <v>100</v>
      </c>
      <c r="AZ255" s="2">
        <v>100</v>
      </c>
      <c r="BA255" s="2">
        <v>100</v>
      </c>
      <c r="BB255" s="2">
        <v>100</v>
      </c>
      <c r="BC255" s="2">
        <v>100</v>
      </c>
      <c r="BD255" s="2">
        <v>100</v>
      </c>
      <c r="BE255" s="2">
        <v>100</v>
      </c>
      <c r="BF255" s="2">
        <v>100</v>
      </c>
      <c r="BG255" s="2">
        <v>100</v>
      </c>
      <c r="BH255" s="2">
        <v>100</v>
      </c>
      <c r="BI255" s="2">
        <v>100</v>
      </c>
      <c r="BJ255" s="2">
        <v>100</v>
      </c>
      <c r="BK255" s="2">
        <v>100</v>
      </c>
      <c r="BL255" s="2">
        <v>100</v>
      </c>
      <c r="BM255" s="2">
        <v>100</v>
      </c>
      <c r="BN255" s="2">
        <v>100</v>
      </c>
      <c r="BO255" s="2">
        <v>100</v>
      </c>
      <c r="BP255" s="2">
        <v>100</v>
      </c>
    </row>
    <row r="256" spans="1:73" ht="15.6" x14ac:dyDescent="0.3">
      <c r="A256" s="12" t="s">
        <v>159</v>
      </c>
      <c r="B256" s="2" t="s">
        <v>270</v>
      </c>
      <c r="C256" s="2" t="s">
        <v>262</v>
      </c>
      <c r="E256" s="2" t="s">
        <v>83</v>
      </c>
      <c r="G256" s="5"/>
      <c r="H256" s="17">
        <v>46069</v>
      </c>
      <c r="I256" s="18"/>
      <c r="K256" s="2">
        <v>12000</v>
      </c>
      <c r="L256" s="3">
        <f t="shared" si="23"/>
        <v>8400</v>
      </c>
      <c r="M256" s="20"/>
      <c r="O256" s="6" t="str">
        <f t="shared" si="24"/>
        <v>Open</v>
      </c>
      <c r="P256" s="3">
        <f t="shared" si="25"/>
        <v>42</v>
      </c>
      <c r="Q256" s="2">
        <v>200</v>
      </c>
      <c r="R256" s="2">
        <v>200</v>
      </c>
      <c r="S256" s="2">
        <v>200</v>
      </c>
      <c r="T256" s="2">
        <v>200</v>
      </c>
      <c r="U256" s="2">
        <v>200</v>
      </c>
      <c r="V256" s="2">
        <v>200</v>
      </c>
      <c r="W256" s="2">
        <v>200</v>
      </c>
      <c r="X256" s="2">
        <v>200</v>
      </c>
      <c r="Y256" s="2">
        <v>200</v>
      </c>
      <c r="Z256" s="2">
        <v>200</v>
      </c>
      <c r="AA256" s="2">
        <v>200</v>
      </c>
      <c r="AB256" s="2">
        <v>200</v>
      </c>
      <c r="AC256" s="2">
        <v>200</v>
      </c>
      <c r="AD256" s="2">
        <v>200</v>
      </c>
      <c r="AE256" s="2">
        <v>200</v>
      </c>
      <c r="AF256" s="2">
        <v>200</v>
      </c>
      <c r="AG256" s="2">
        <v>200</v>
      </c>
      <c r="AH256" s="2">
        <v>200</v>
      </c>
    </row>
    <row r="257" spans="1:66" ht="15.6" x14ac:dyDescent="0.3">
      <c r="A257" s="12" t="s">
        <v>159</v>
      </c>
      <c r="B257" s="2" t="s">
        <v>270</v>
      </c>
      <c r="C257" s="2" t="s">
        <v>263</v>
      </c>
      <c r="E257" s="2" t="s">
        <v>264</v>
      </c>
      <c r="G257" s="5"/>
      <c r="H257" s="17">
        <v>46069</v>
      </c>
      <c r="I257" s="18"/>
      <c r="K257" s="2">
        <v>12000</v>
      </c>
      <c r="L257" s="3">
        <f t="shared" si="23"/>
        <v>9200</v>
      </c>
      <c r="M257" s="20"/>
      <c r="O257" s="6" t="str">
        <f t="shared" si="24"/>
        <v>Open</v>
      </c>
      <c r="P257" s="3">
        <f t="shared" si="25"/>
        <v>46</v>
      </c>
      <c r="Q257" s="2">
        <v>200</v>
      </c>
      <c r="R257" s="2">
        <v>200</v>
      </c>
      <c r="S257" s="2">
        <v>200</v>
      </c>
      <c r="T257" s="2">
        <v>200</v>
      </c>
      <c r="U257" s="2">
        <v>200</v>
      </c>
      <c r="V257" s="2">
        <v>200</v>
      </c>
      <c r="W257" s="2">
        <v>200</v>
      </c>
      <c r="X257" s="2">
        <v>200</v>
      </c>
      <c r="Y257" s="2">
        <v>200</v>
      </c>
      <c r="Z257" s="2">
        <v>200</v>
      </c>
      <c r="AA257" s="2">
        <v>200</v>
      </c>
      <c r="AB257" s="2">
        <v>200</v>
      </c>
      <c r="AC257" s="2">
        <v>200</v>
      </c>
      <c r="AD257" s="2">
        <v>200</v>
      </c>
    </row>
    <row r="258" spans="1:66" ht="15.6" x14ac:dyDescent="0.3">
      <c r="A258" s="12" t="s">
        <v>159</v>
      </c>
      <c r="B258" s="2" t="s">
        <v>270</v>
      </c>
      <c r="C258" s="2" t="s">
        <v>265</v>
      </c>
      <c r="E258" s="2" t="s">
        <v>110</v>
      </c>
      <c r="G258" s="5"/>
      <c r="H258" s="17">
        <v>46069</v>
      </c>
      <c r="I258" s="18"/>
      <c r="K258" s="2">
        <v>24000</v>
      </c>
      <c r="L258" s="3">
        <f t="shared" ref="L258:L321" si="26">K258-SUM(Q258:BX258)</f>
        <v>4000</v>
      </c>
      <c r="M258" s="20"/>
      <c r="O258" s="6" t="str">
        <f t="shared" ref="O258:O321" si="27">IF(COUNTA(P258:BW258)=COLUMNS(P258:BW258),"Closed","Open")</f>
        <v>Open</v>
      </c>
      <c r="P258" s="3">
        <f t="shared" ref="P258:P321" si="28">60-COUNT(Q258:BX258)</f>
        <v>10</v>
      </c>
      <c r="Q258" s="2">
        <v>400</v>
      </c>
      <c r="R258" s="2">
        <v>400</v>
      </c>
      <c r="S258" s="2">
        <v>400</v>
      </c>
      <c r="T258" s="2">
        <v>400</v>
      </c>
      <c r="U258" s="2">
        <v>400</v>
      </c>
      <c r="V258" s="2">
        <v>400</v>
      </c>
      <c r="W258" s="2">
        <v>400</v>
      </c>
      <c r="X258" s="2">
        <v>400</v>
      </c>
      <c r="Y258" s="2">
        <v>400</v>
      </c>
      <c r="Z258" s="2">
        <v>400</v>
      </c>
      <c r="AA258" s="2">
        <v>400</v>
      </c>
      <c r="AB258" s="2">
        <v>400</v>
      </c>
      <c r="AC258" s="2">
        <v>400</v>
      </c>
      <c r="AD258" s="2">
        <v>400</v>
      </c>
      <c r="AE258" s="2">
        <v>400</v>
      </c>
      <c r="AF258" s="2">
        <v>400</v>
      </c>
      <c r="AG258" s="2">
        <v>400</v>
      </c>
      <c r="AH258" s="2">
        <v>400</v>
      </c>
      <c r="AI258" s="2">
        <v>400</v>
      </c>
      <c r="AJ258" s="2">
        <v>400</v>
      </c>
      <c r="AK258" s="2">
        <v>400</v>
      </c>
      <c r="AL258" s="2">
        <v>400</v>
      </c>
      <c r="AM258" s="2">
        <v>400</v>
      </c>
      <c r="AN258" s="2">
        <v>400</v>
      </c>
      <c r="AO258" s="2">
        <v>400</v>
      </c>
      <c r="AP258" s="2">
        <v>400</v>
      </c>
      <c r="AQ258" s="2">
        <v>400</v>
      </c>
      <c r="AR258" s="2">
        <v>400</v>
      </c>
      <c r="AS258" s="2">
        <v>400</v>
      </c>
      <c r="AT258" s="2">
        <v>400</v>
      </c>
      <c r="AU258" s="2">
        <v>400</v>
      </c>
      <c r="AV258" s="2">
        <v>400</v>
      </c>
      <c r="AW258" s="2">
        <v>400</v>
      </c>
      <c r="AX258" s="2">
        <v>400</v>
      </c>
      <c r="AY258" s="2">
        <v>400</v>
      </c>
      <c r="AZ258" s="2">
        <v>400</v>
      </c>
      <c r="BA258" s="2">
        <v>400</v>
      </c>
      <c r="BB258" s="2">
        <v>400</v>
      </c>
      <c r="BC258" s="2">
        <v>400</v>
      </c>
      <c r="BD258" s="2">
        <v>400</v>
      </c>
      <c r="BE258" s="2">
        <v>400</v>
      </c>
      <c r="BF258" s="2">
        <v>400</v>
      </c>
      <c r="BG258" s="2">
        <v>400</v>
      </c>
      <c r="BH258" s="2">
        <v>400</v>
      </c>
      <c r="BI258" s="2">
        <v>400</v>
      </c>
      <c r="BJ258" s="2">
        <v>400</v>
      </c>
      <c r="BK258" s="2">
        <v>400</v>
      </c>
      <c r="BL258" s="2">
        <v>400</v>
      </c>
      <c r="BM258" s="2">
        <v>400</v>
      </c>
      <c r="BN258" s="2">
        <v>400</v>
      </c>
    </row>
    <row r="259" spans="1:66" ht="15.6" x14ac:dyDescent="0.3">
      <c r="A259" s="12" t="s">
        <v>159</v>
      </c>
      <c r="B259" s="2" t="s">
        <v>270</v>
      </c>
      <c r="C259" s="2" t="s">
        <v>265</v>
      </c>
      <c r="E259" s="2" t="s">
        <v>129</v>
      </c>
      <c r="G259" s="5"/>
      <c r="H259" s="17">
        <v>46069</v>
      </c>
      <c r="I259" s="18"/>
      <c r="K259" s="2">
        <v>18000</v>
      </c>
      <c r="L259" s="3">
        <f t="shared" si="26"/>
        <v>9300</v>
      </c>
      <c r="M259" s="20"/>
      <c r="O259" s="6" t="str">
        <f t="shared" si="27"/>
        <v>Open</v>
      </c>
      <c r="P259" s="3">
        <f t="shared" si="28"/>
        <v>31</v>
      </c>
      <c r="Q259" s="2">
        <v>300</v>
      </c>
      <c r="R259" s="2">
        <v>300</v>
      </c>
      <c r="S259" s="2">
        <v>300</v>
      </c>
      <c r="T259" s="2">
        <v>300</v>
      </c>
      <c r="U259" s="2">
        <v>300</v>
      </c>
      <c r="V259" s="2">
        <v>300</v>
      </c>
      <c r="W259" s="2">
        <v>300</v>
      </c>
      <c r="X259" s="2">
        <v>300</v>
      </c>
      <c r="Y259" s="2">
        <v>300</v>
      </c>
      <c r="Z259" s="2">
        <v>300</v>
      </c>
      <c r="AA259" s="2">
        <v>300</v>
      </c>
      <c r="AB259" s="2">
        <v>300</v>
      </c>
      <c r="AC259" s="2">
        <v>300</v>
      </c>
      <c r="AD259" s="2">
        <v>300</v>
      </c>
      <c r="AE259" s="2">
        <v>300</v>
      </c>
      <c r="AF259" s="2">
        <v>300</v>
      </c>
      <c r="AG259" s="2">
        <v>300</v>
      </c>
      <c r="AH259" s="2">
        <v>300</v>
      </c>
      <c r="AI259" s="2">
        <v>300</v>
      </c>
      <c r="AJ259" s="2">
        <v>300</v>
      </c>
      <c r="AK259" s="2">
        <v>300</v>
      </c>
      <c r="AL259" s="2">
        <v>300</v>
      </c>
      <c r="AM259" s="2">
        <v>300</v>
      </c>
      <c r="AN259" s="2">
        <v>300</v>
      </c>
      <c r="AO259" s="2">
        <v>300</v>
      </c>
      <c r="AP259" s="2">
        <v>300</v>
      </c>
      <c r="AQ259" s="2">
        <v>300</v>
      </c>
      <c r="AR259" s="2">
        <v>300</v>
      </c>
      <c r="AS259" s="2">
        <v>300</v>
      </c>
    </row>
    <row r="260" spans="1:66" ht="15.6" x14ac:dyDescent="0.3">
      <c r="A260" s="12" t="s">
        <v>159</v>
      </c>
      <c r="B260" s="2" t="s">
        <v>270</v>
      </c>
      <c r="C260" s="2" t="s">
        <v>265</v>
      </c>
      <c r="E260" s="2" t="s">
        <v>135</v>
      </c>
      <c r="G260" s="5"/>
      <c r="H260" s="17">
        <v>46069</v>
      </c>
      <c r="I260" s="18"/>
      <c r="K260" s="2">
        <v>18000</v>
      </c>
      <c r="L260" s="3">
        <f t="shared" si="26"/>
        <v>7200</v>
      </c>
      <c r="M260" s="20"/>
      <c r="O260" s="6" t="str">
        <f t="shared" si="27"/>
        <v>Open</v>
      </c>
      <c r="P260" s="3">
        <f t="shared" si="28"/>
        <v>24</v>
      </c>
      <c r="Q260" s="2">
        <v>300</v>
      </c>
      <c r="R260" s="2">
        <v>300</v>
      </c>
      <c r="S260" s="2">
        <v>300</v>
      </c>
      <c r="T260" s="2">
        <v>300</v>
      </c>
      <c r="U260" s="2">
        <v>300</v>
      </c>
      <c r="V260" s="2">
        <v>300</v>
      </c>
      <c r="W260" s="2">
        <v>300</v>
      </c>
      <c r="X260" s="2">
        <v>300</v>
      </c>
      <c r="Y260" s="2">
        <v>300</v>
      </c>
      <c r="Z260" s="2">
        <v>300</v>
      </c>
      <c r="AA260" s="2">
        <v>300</v>
      </c>
      <c r="AB260" s="2">
        <v>300</v>
      </c>
      <c r="AC260" s="2">
        <v>300</v>
      </c>
      <c r="AD260" s="2">
        <v>300</v>
      </c>
      <c r="AE260" s="2">
        <v>300</v>
      </c>
      <c r="AF260" s="2">
        <v>300</v>
      </c>
      <c r="AG260" s="2">
        <v>300</v>
      </c>
      <c r="AH260" s="2">
        <v>300</v>
      </c>
      <c r="AI260" s="2">
        <v>300</v>
      </c>
      <c r="AJ260" s="2">
        <v>300</v>
      </c>
      <c r="AK260" s="2">
        <v>300</v>
      </c>
      <c r="AL260" s="2">
        <v>300</v>
      </c>
      <c r="AM260" s="2">
        <v>300</v>
      </c>
      <c r="AN260" s="2">
        <v>300</v>
      </c>
      <c r="AO260" s="2">
        <v>300</v>
      </c>
      <c r="AP260" s="2">
        <v>300</v>
      </c>
      <c r="AQ260" s="2">
        <v>300</v>
      </c>
      <c r="AR260" s="2">
        <v>300</v>
      </c>
      <c r="AS260" s="2">
        <v>300</v>
      </c>
      <c r="AT260" s="2">
        <v>300</v>
      </c>
      <c r="AU260" s="2">
        <v>300</v>
      </c>
      <c r="AV260" s="2">
        <v>300</v>
      </c>
      <c r="AW260" s="2">
        <v>300</v>
      </c>
      <c r="AX260" s="2">
        <v>300</v>
      </c>
      <c r="AY260" s="2">
        <v>300</v>
      </c>
      <c r="AZ260" s="2">
        <v>300</v>
      </c>
    </row>
    <row r="261" spans="1:66" ht="15.6" x14ac:dyDescent="0.3">
      <c r="A261" s="12" t="s">
        <v>159</v>
      </c>
      <c r="B261" s="2" t="s">
        <v>270</v>
      </c>
      <c r="C261" s="2" t="s">
        <v>265</v>
      </c>
      <c r="E261" s="2" t="s">
        <v>266</v>
      </c>
      <c r="G261" s="5"/>
      <c r="H261" s="17">
        <v>46069</v>
      </c>
      <c r="I261" s="18"/>
      <c r="K261" s="2">
        <v>18000</v>
      </c>
      <c r="L261" s="3">
        <f t="shared" si="26"/>
        <v>9900</v>
      </c>
      <c r="M261" s="20"/>
      <c r="O261" s="6" t="str">
        <f t="shared" si="27"/>
        <v>Open</v>
      </c>
      <c r="P261" s="3">
        <f t="shared" si="28"/>
        <v>33</v>
      </c>
      <c r="Q261" s="2">
        <v>300</v>
      </c>
      <c r="R261" s="2">
        <v>300</v>
      </c>
      <c r="S261" s="2">
        <v>300</v>
      </c>
      <c r="T261" s="2">
        <v>300</v>
      </c>
      <c r="U261" s="2">
        <v>300</v>
      </c>
      <c r="V261" s="2">
        <v>300</v>
      </c>
      <c r="W261" s="2">
        <v>300</v>
      </c>
      <c r="X261" s="2">
        <v>300</v>
      </c>
      <c r="Y261" s="2">
        <v>300</v>
      </c>
      <c r="Z261" s="2">
        <v>300</v>
      </c>
      <c r="AA261" s="2">
        <v>300</v>
      </c>
      <c r="AB261" s="2">
        <v>300</v>
      </c>
      <c r="AC261" s="2">
        <v>300</v>
      </c>
      <c r="AD261" s="2">
        <v>300</v>
      </c>
      <c r="AE261" s="2">
        <v>300</v>
      </c>
      <c r="AF261" s="2">
        <v>300</v>
      </c>
      <c r="AG261" s="2">
        <v>300</v>
      </c>
      <c r="AH261" s="2">
        <v>300</v>
      </c>
      <c r="AI261" s="2">
        <v>300</v>
      </c>
      <c r="AJ261" s="2">
        <v>300</v>
      </c>
      <c r="AK261" s="2">
        <v>300</v>
      </c>
      <c r="AL261" s="2">
        <v>300</v>
      </c>
      <c r="AM261" s="2">
        <v>300</v>
      </c>
      <c r="AN261" s="2">
        <v>300</v>
      </c>
      <c r="AO261" s="2">
        <v>300</v>
      </c>
      <c r="AP261" s="2">
        <v>300</v>
      </c>
      <c r="AQ261" s="2">
        <v>300</v>
      </c>
    </row>
    <row r="262" spans="1:66" ht="15.6" x14ac:dyDescent="0.3">
      <c r="A262" s="12" t="s">
        <v>159</v>
      </c>
      <c r="B262" s="2" t="s">
        <v>270</v>
      </c>
      <c r="C262" s="2" t="s">
        <v>265</v>
      </c>
      <c r="E262" s="2" t="s">
        <v>183</v>
      </c>
      <c r="G262" s="5"/>
      <c r="H262" s="17">
        <v>46069</v>
      </c>
      <c r="I262" s="18"/>
      <c r="K262" s="2">
        <v>12000</v>
      </c>
      <c r="L262" s="3">
        <f t="shared" si="26"/>
        <v>3400</v>
      </c>
      <c r="M262" s="20"/>
      <c r="O262" s="6" t="str">
        <f t="shared" si="27"/>
        <v>Open</v>
      </c>
      <c r="P262" s="3">
        <f t="shared" si="28"/>
        <v>17</v>
      </c>
      <c r="Q262" s="2">
        <v>200</v>
      </c>
      <c r="R262" s="2">
        <v>200</v>
      </c>
      <c r="S262" s="2">
        <v>200</v>
      </c>
      <c r="T262" s="2">
        <v>200</v>
      </c>
      <c r="U262" s="2">
        <v>200</v>
      </c>
      <c r="V262" s="2">
        <v>200</v>
      </c>
      <c r="W262" s="2">
        <v>200</v>
      </c>
      <c r="X262" s="2">
        <v>200</v>
      </c>
      <c r="Y262" s="2">
        <v>200</v>
      </c>
      <c r="Z262" s="2">
        <v>200</v>
      </c>
      <c r="AA262" s="2">
        <v>200</v>
      </c>
      <c r="AB262" s="2">
        <v>200</v>
      </c>
      <c r="AC262" s="2">
        <v>200</v>
      </c>
      <c r="AD262" s="2">
        <v>200</v>
      </c>
      <c r="AE262" s="2">
        <v>200</v>
      </c>
      <c r="AF262" s="2">
        <v>200</v>
      </c>
      <c r="AG262" s="2">
        <v>200</v>
      </c>
      <c r="AH262" s="2">
        <v>200</v>
      </c>
      <c r="AI262" s="2">
        <v>200</v>
      </c>
      <c r="AJ262" s="2">
        <v>200</v>
      </c>
      <c r="AK262" s="2">
        <v>200</v>
      </c>
      <c r="AL262" s="2">
        <v>200</v>
      </c>
      <c r="AM262" s="2">
        <v>200</v>
      </c>
      <c r="AN262" s="2">
        <v>200</v>
      </c>
      <c r="AO262" s="2">
        <v>200</v>
      </c>
      <c r="AP262" s="2">
        <v>200</v>
      </c>
      <c r="AQ262" s="2">
        <v>200</v>
      </c>
      <c r="AR262" s="2">
        <v>200</v>
      </c>
      <c r="AS262" s="2">
        <v>200</v>
      </c>
      <c r="AT262" s="2">
        <v>200</v>
      </c>
      <c r="AU262" s="2">
        <v>200</v>
      </c>
      <c r="AV262" s="2">
        <v>200</v>
      </c>
      <c r="AW262" s="2">
        <v>200</v>
      </c>
      <c r="AX262" s="2">
        <v>200</v>
      </c>
      <c r="AY262" s="2">
        <v>200</v>
      </c>
      <c r="AZ262" s="2">
        <v>200</v>
      </c>
      <c r="BA262" s="2">
        <v>200</v>
      </c>
      <c r="BB262" s="2">
        <v>200</v>
      </c>
      <c r="BC262" s="2">
        <v>200</v>
      </c>
      <c r="BD262" s="2">
        <v>200</v>
      </c>
      <c r="BE262" s="2">
        <v>200</v>
      </c>
      <c r="BF262" s="2">
        <v>200</v>
      </c>
      <c r="BG262" s="2">
        <v>200</v>
      </c>
    </row>
    <row r="263" spans="1:66" ht="15.6" x14ac:dyDescent="0.3">
      <c r="A263" s="12" t="s">
        <v>159</v>
      </c>
      <c r="B263" s="2" t="s">
        <v>270</v>
      </c>
      <c r="C263" s="2" t="s">
        <v>265</v>
      </c>
      <c r="E263" s="2" t="s">
        <v>250</v>
      </c>
      <c r="G263" s="5"/>
      <c r="H263" s="17">
        <v>46069</v>
      </c>
      <c r="I263" s="18"/>
      <c r="K263" s="2">
        <v>18000</v>
      </c>
      <c r="L263" s="3">
        <f t="shared" si="26"/>
        <v>11100</v>
      </c>
      <c r="M263" s="20"/>
      <c r="O263" s="6" t="str">
        <f t="shared" si="27"/>
        <v>Open</v>
      </c>
      <c r="P263" s="3">
        <f t="shared" si="28"/>
        <v>37</v>
      </c>
      <c r="Q263" s="2">
        <v>300</v>
      </c>
      <c r="R263" s="2">
        <v>300</v>
      </c>
      <c r="S263" s="2">
        <v>300</v>
      </c>
      <c r="T263" s="2">
        <v>300</v>
      </c>
      <c r="U263" s="2">
        <v>300</v>
      </c>
      <c r="V263" s="2">
        <v>300</v>
      </c>
      <c r="W263" s="2">
        <v>300</v>
      </c>
      <c r="X263" s="2">
        <v>300</v>
      </c>
      <c r="Y263" s="2">
        <v>300</v>
      </c>
      <c r="Z263" s="2">
        <v>300</v>
      </c>
      <c r="AA263" s="2">
        <v>300</v>
      </c>
      <c r="AB263" s="2">
        <v>300</v>
      </c>
      <c r="AC263" s="2">
        <v>300</v>
      </c>
      <c r="AD263" s="2">
        <v>300</v>
      </c>
      <c r="AE263" s="2">
        <v>300</v>
      </c>
      <c r="AF263" s="2">
        <v>300</v>
      </c>
      <c r="AG263" s="2">
        <v>300</v>
      </c>
      <c r="AH263" s="2">
        <v>300</v>
      </c>
      <c r="AI263" s="2">
        <v>300</v>
      </c>
      <c r="AJ263" s="2">
        <v>300</v>
      </c>
      <c r="AK263" s="2">
        <v>300</v>
      </c>
      <c r="AL263" s="2">
        <v>300</v>
      </c>
      <c r="AM263" s="2">
        <v>300</v>
      </c>
    </row>
    <row r="264" spans="1:66" ht="15.6" x14ac:dyDescent="0.3">
      <c r="A264" s="12" t="s">
        <v>159</v>
      </c>
      <c r="B264" s="2" t="s">
        <v>270</v>
      </c>
      <c r="C264" s="2" t="s">
        <v>265</v>
      </c>
      <c r="E264" s="2" t="s">
        <v>178</v>
      </c>
      <c r="G264" s="5"/>
      <c r="H264" s="17">
        <v>46069</v>
      </c>
      <c r="I264" s="18"/>
      <c r="K264" s="2">
        <v>12000</v>
      </c>
      <c r="L264" s="3">
        <f t="shared" si="26"/>
        <v>8000</v>
      </c>
      <c r="M264" s="20"/>
      <c r="O264" s="6" t="str">
        <f t="shared" si="27"/>
        <v>Open</v>
      </c>
      <c r="P264" s="3">
        <f t="shared" si="28"/>
        <v>40</v>
      </c>
      <c r="Q264" s="2">
        <v>200</v>
      </c>
      <c r="R264" s="2">
        <v>200</v>
      </c>
      <c r="S264" s="2">
        <v>200</v>
      </c>
      <c r="T264" s="2">
        <v>200</v>
      </c>
      <c r="U264" s="2">
        <v>200</v>
      </c>
      <c r="V264" s="2">
        <v>200</v>
      </c>
      <c r="W264" s="2">
        <v>200</v>
      </c>
      <c r="X264" s="2">
        <v>200</v>
      </c>
      <c r="Y264" s="2">
        <v>200</v>
      </c>
      <c r="Z264" s="2">
        <v>200</v>
      </c>
      <c r="AA264" s="2">
        <v>200</v>
      </c>
      <c r="AB264" s="2">
        <v>200</v>
      </c>
      <c r="AC264" s="2">
        <v>200</v>
      </c>
      <c r="AD264" s="2">
        <v>200</v>
      </c>
      <c r="AE264" s="2">
        <v>200</v>
      </c>
      <c r="AF264" s="2">
        <v>200</v>
      </c>
      <c r="AG264" s="2">
        <v>200</v>
      </c>
      <c r="AH264" s="2">
        <v>200</v>
      </c>
      <c r="AI264" s="2">
        <v>200</v>
      </c>
      <c r="AJ264" s="2">
        <v>200</v>
      </c>
    </row>
    <row r="265" spans="1:66" ht="15.6" x14ac:dyDescent="0.3">
      <c r="A265" s="12" t="s">
        <v>159</v>
      </c>
      <c r="B265" s="2" t="s">
        <v>270</v>
      </c>
      <c r="C265" s="2" t="s">
        <v>265</v>
      </c>
      <c r="E265" s="2" t="s">
        <v>267</v>
      </c>
      <c r="G265" s="5"/>
      <c r="H265" s="17">
        <v>46069</v>
      </c>
      <c r="I265" s="18"/>
      <c r="K265" s="2">
        <v>6000</v>
      </c>
      <c r="L265" s="3">
        <f t="shared" si="26"/>
        <v>3100</v>
      </c>
      <c r="M265" s="20"/>
      <c r="O265" s="6" t="str">
        <f t="shared" si="27"/>
        <v>Open</v>
      </c>
      <c r="P265" s="3">
        <f t="shared" si="28"/>
        <v>31</v>
      </c>
      <c r="Q265" s="2">
        <v>100</v>
      </c>
      <c r="R265" s="2">
        <v>100</v>
      </c>
      <c r="S265" s="2">
        <v>100</v>
      </c>
      <c r="T265" s="2">
        <v>100</v>
      </c>
      <c r="U265" s="2">
        <v>100</v>
      </c>
      <c r="V265" s="2">
        <v>100</v>
      </c>
      <c r="W265" s="2">
        <v>100</v>
      </c>
      <c r="X265" s="2">
        <v>100</v>
      </c>
      <c r="Y265" s="2">
        <v>100</v>
      </c>
      <c r="Z265" s="2">
        <v>100</v>
      </c>
      <c r="AA265" s="2">
        <v>100</v>
      </c>
      <c r="AB265" s="2">
        <v>100</v>
      </c>
      <c r="AC265" s="2">
        <v>100</v>
      </c>
      <c r="AD265" s="2">
        <v>100</v>
      </c>
      <c r="AE265" s="2">
        <v>100</v>
      </c>
      <c r="AF265" s="2">
        <v>100</v>
      </c>
      <c r="AG265" s="2">
        <v>100</v>
      </c>
      <c r="AH265" s="2">
        <v>100</v>
      </c>
      <c r="AI265" s="2">
        <v>100</v>
      </c>
      <c r="AJ265" s="2">
        <v>100</v>
      </c>
      <c r="AK265" s="2">
        <v>100</v>
      </c>
      <c r="AL265" s="2">
        <v>100</v>
      </c>
      <c r="AM265" s="2">
        <v>100</v>
      </c>
      <c r="AN265" s="2">
        <v>100</v>
      </c>
      <c r="AO265" s="2">
        <v>100</v>
      </c>
      <c r="AP265" s="2">
        <v>100</v>
      </c>
      <c r="AQ265" s="2">
        <v>100</v>
      </c>
      <c r="AR265" s="2">
        <v>100</v>
      </c>
      <c r="AS265" s="2">
        <v>100</v>
      </c>
    </row>
    <row r="266" spans="1:66" ht="15.6" x14ac:dyDescent="0.3">
      <c r="A266" s="12" t="s">
        <v>159</v>
      </c>
      <c r="B266" s="2" t="s">
        <v>270</v>
      </c>
      <c r="C266" s="2" t="s">
        <v>265</v>
      </c>
      <c r="E266" s="2" t="s">
        <v>268</v>
      </c>
      <c r="G266" s="5"/>
      <c r="H266" s="17">
        <v>46069</v>
      </c>
      <c r="I266" s="18"/>
      <c r="K266" s="2">
        <v>18000</v>
      </c>
      <c r="L266" s="3">
        <f t="shared" si="26"/>
        <v>16200</v>
      </c>
      <c r="M266" s="20"/>
      <c r="O266" s="6" t="str">
        <f t="shared" si="27"/>
        <v>Open</v>
      </c>
      <c r="P266" s="3">
        <f t="shared" si="28"/>
        <v>54</v>
      </c>
      <c r="Q266" s="2">
        <v>300</v>
      </c>
      <c r="R266" s="2">
        <v>300</v>
      </c>
      <c r="S266" s="2">
        <v>300</v>
      </c>
      <c r="T266" s="2">
        <v>300</v>
      </c>
      <c r="U266" s="2">
        <v>300</v>
      </c>
      <c r="V266" s="2">
        <v>300</v>
      </c>
    </row>
    <row r="267" spans="1:66" ht="15.6" x14ac:dyDescent="0.3">
      <c r="A267" s="12" t="s">
        <v>159</v>
      </c>
      <c r="B267" s="2" t="s">
        <v>270</v>
      </c>
      <c r="C267" s="2" t="s">
        <v>265</v>
      </c>
      <c r="E267" s="2" t="s">
        <v>91</v>
      </c>
      <c r="G267" s="5"/>
      <c r="H267" s="17">
        <v>46069</v>
      </c>
      <c r="I267" s="18"/>
      <c r="K267" s="2">
        <v>12000</v>
      </c>
      <c r="L267" s="3">
        <f t="shared" si="26"/>
        <v>7400</v>
      </c>
      <c r="M267" s="20"/>
      <c r="O267" s="6" t="str">
        <f t="shared" si="27"/>
        <v>Open</v>
      </c>
      <c r="P267" s="3">
        <f t="shared" si="28"/>
        <v>37</v>
      </c>
      <c r="Q267" s="2">
        <v>200</v>
      </c>
      <c r="R267" s="2">
        <v>200</v>
      </c>
      <c r="S267" s="2">
        <v>200</v>
      </c>
      <c r="T267" s="2">
        <v>200</v>
      </c>
      <c r="U267" s="2">
        <v>200</v>
      </c>
      <c r="V267" s="2">
        <v>200</v>
      </c>
      <c r="W267" s="2">
        <v>200</v>
      </c>
      <c r="X267" s="2">
        <v>200</v>
      </c>
      <c r="Y267" s="2">
        <v>200</v>
      </c>
      <c r="Z267" s="2">
        <v>200</v>
      </c>
      <c r="AA267" s="2">
        <v>200</v>
      </c>
      <c r="AB267" s="2">
        <v>200</v>
      </c>
      <c r="AC267" s="2">
        <v>200</v>
      </c>
      <c r="AD267" s="2">
        <v>200</v>
      </c>
      <c r="AE267" s="2">
        <v>200</v>
      </c>
      <c r="AF267" s="2">
        <v>200</v>
      </c>
      <c r="AG267" s="2">
        <v>200</v>
      </c>
      <c r="AH267" s="2">
        <v>200</v>
      </c>
      <c r="AI267" s="2">
        <v>200</v>
      </c>
      <c r="AJ267" s="2">
        <v>200</v>
      </c>
      <c r="AK267" s="2">
        <v>200</v>
      </c>
      <c r="AL267" s="2">
        <v>200</v>
      </c>
      <c r="AM267" s="2">
        <v>200</v>
      </c>
    </row>
    <row r="268" spans="1:66" ht="15.6" x14ac:dyDescent="0.3">
      <c r="A268" s="12" t="s">
        <v>159</v>
      </c>
      <c r="B268" s="2" t="s">
        <v>270</v>
      </c>
      <c r="C268" s="2" t="s">
        <v>265</v>
      </c>
      <c r="E268" s="2" t="s">
        <v>104</v>
      </c>
      <c r="G268" s="5"/>
      <c r="H268" s="17">
        <v>46069</v>
      </c>
      <c r="I268" s="18"/>
      <c r="K268" s="2">
        <v>18000</v>
      </c>
      <c r="L268" s="3">
        <f t="shared" si="26"/>
        <v>13800</v>
      </c>
      <c r="M268" s="20"/>
      <c r="O268" s="6" t="str">
        <f t="shared" si="27"/>
        <v>Open</v>
      </c>
      <c r="P268" s="3">
        <f t="shared" si="28"/>
        <v>46</v>
      </c>
      <c r="Q268" s="2">
        <v>300</v>
      </c>
      <c r="R268" s="2">
        <v>300</v>
      </c>
      <c r="S268" s="2">
        <v>300</v>
      </c>
      <c r="T268" s="2">
        <v>300</v>
      </c>
      <c r="U268" s="2">
        <v>300</v>
      </c>
      <c r="V268" s="2">
        <v>300</v>
      </c>
      <c r="W268" s="2">
        <v>300</v>
      </c>
      <c r="X268" s="2">
        <v>300</v>
      </c>
      <c r="Y268" s="2">
        <v>300</v>
      </c>
      <c r="Z268" s="2">
        <v>300</v>
      </c>
      <c r="AA268" s="2">
        <v>300</v>
      </c>
      <c r="AB268" s="2">
        <v>300</v>
      </c>
      <c r="AC268" s="2">
        <v>300</v>
      </c>
      <c r="AD268" s="2">
        <v>300</v>
      </c>
    </row>
    <row r="269" spans="1:66" ht="15.6" x14ac:dyDescent="0.3">
      <c r="A269" s="12" t="s">
        <v>159</v>
      </c>
      <c r="B269" s="2" t="s">
        <v>270</v>
      </c>
      <c r="C269" s="2" t="s">
        <v>265</v>
      </c>
      <c r="E269" s="2" t="s">
        <v>162</v>
      </c>
      <c r="G269" s="5"/>
      <c r="H269" s="17">
        <v>46069</v>
      </c>
      <c r="I269" s="18"/>
      <c r="K269" s="2">
        <v>12000</v>
      </c>
      <c r="L269" s="3">
        <f t="shared" si="26"/>
        <v>9800</v>
      </c>
      <c r="M269" s="20"/>
      <c r="O269" s="6" t="str">
        <f t="shared" si="27"/>
        <v>Open</v>
      </c>
      <c r="P269" s="3">
        <f t="shared" si="28"/>
        <v>49</v>
      </c>
      <c r="Q269" s="2">
        <v>200</v>
      </c>
      <c r="R269" s="2">
        <v>200</v>
      </c>
      <c r="S269" s="2">
        <v>200</v>
      </c>
      <c r="T269" s="2">
        <v>200</v>
      </c>
      <c r="U269" s="2">
        <v>200</v>
      </c>
      <c r="V269" s="2">
        <v>200</v>
      </c>
      <c r="W269" s="2">
        <v>200</v>
      </c>
      <c r="X269" s="2">
        <v>200</v>
      </c>
      <c r="Y269" s="2">
        <v>200</v>
      </c>
      <c r="Z269" s="2">
        <v>200</v>
      </c>
      <c r="AA269" s="2">
        <v>200</v>
      </c>
    </row>
    <row r="270" spans="1:66" ht="15.6" x14ac:dyDescent="0.3">
      <c r="A270" s="12" t="s">
        <v>159</v>
      </c>
      <c r="B270" s="2" t="s">
        <v>270</v>
      </c>
      <c r="C270" s="2" t="s">
        <v>265</v>
      </c>
      <c r="E270" s="2" t="s">
        <v>98</v>
      </c>
      <c r="G270" s="5"/>
      <c r="H270" s="17">
        <v>46069</v>
      </c>
      <c r="I270" s="18"/>
      <c r="K270" s="2">
        <v>18000</v>
      </c>
      <c r="L270" s="3">
        <f t="shared" si="26"/>
        <v>12900</v>
      </c>
      <c r="M270" s="20"/>
      <c r="O270" s="6" t="str">
        <f t="shared" si="27"/>
        <v>Open</v>
      </c>
      <c r="P270" s="3">
        <f t="shared" si="28"/>
        <v>43</v>
      </c>
      <c r="Q270" s="2">
        <v>300</v>
      </c>
      <c r="R270" s="2">
        <v>300</v>
      </c>
      <c r="S270" s="2">
        <v>300</v>
      </c>
      <c r="T270" s="2">
        <v>300</v>
      </c>
      <c r="U270" s="2">
        <v>300</v>
      </c>
      <c r="V270" s="2">
        <v>300</v>
      </c>
      <c r="W270" s="2">
        <v>300</v>
      </c>
      <c r="X270" s="2">
        <v>300</v>
      </c>
      <c r="Y270" s="2">
        <v>300</v>
      </c>
      <c r="Z270" s="2">
        <v>300</v>
      </c>
      <c r="AA270" s="2">
        <v>300</v>
      </c>
      <c r="AB270" s="2">
        <v>300</v>
      </c>
      <c r="AC270" s="2">
        <v>300</v>
      </c>
      <c r="AD270" s="2">
        <v>300</v>
      </c>
      <c r="AE270" s="2">
        <v>300</v>
      </c>
      <c r="AF270" s="2">
        <v>300</v>
      </c>
      <c r="AG270" s="2">
        <v>300</v>
      </c>
    </row>
    <row r="271" spans="1:66" ht="15.6" x14ac:dyDescent="0.3">
      <c r="A271" s="12" t="s">
        <v>159</v>
      </c>
      <c r="B271" s="2" t="s">
        <v>270</v>
      </c>
      <c r="C271" s="2" t="s">
        <v>265</v>
      </c>
      <c r="E271" s="2" t="s">
        <v>110</v>
      </c>
      <c r="G271" s="5"/>
      <c r="H271" s="17">
        <v>46069</v>
      </c>
      <c r="I271" s="18"/>
      <c r="K271" s="2">
        <v>18000</v>
      </c>
      <c r="L271" s="3">
        <f t="shared" si="26"/>
        <v>16200</v>
      </c>
      <c r="M271" s="20"/>
      <c r="O271" s="6" t="str">
        <f t="shared" si="27"/>
        <v>Open</v>
      </c>
      <c r="P271" s="3">
        <f t="shared" si="28"/>
        <v>54</v>
      </c>
      <c r="Q271" s="2">
        <v>300</v>
      </c>
      <c r="R271" s="2">
        <v>300</v>
      </c>
      <c r="S271" s="2">
        <v>300</v>
      </c>
      <c r="T271" s="2">
        <v>300</v>
      </c>
      <c r="U271" s="2">
        <v>300</v>
      </c>
      <c r="V271" s="2">
        <v>300</v>
      </c>
    </row>
    <row r="272" spans="1:66" ht="15.6" x14ac:dyDescent="0.3">
      <c r="A272" s="12" t="s">
        <v>159</v>
      </c>
      <c r="B272" s="2" t="s">
        <v>270</v>
      </c>
      <c r="C272" s="2" t="s">
        <v>265</v>
      </c>
      <c r="E272" s="2" t="s">
        <v>136</v>
      </c>
      <c r="G272" s="5"/>
      <c r="H272" s="17">
        <v>46069</v>
      </c>
      <c r="I272" s="18"/>
      <c r="K272" s="2">
        <v>18000</v>
      </c>
      <c r="L272" s="3">
        <f t="shared" si="26"/>
        <v>16200</v>
      </c>
      <c r="M272" s="20"/>
      <c r="O272" s="6" t="str">
        <f t="shared" si="27"/>
        <v>Open</v>
      </c>
      <c r="P272" s="3">
        <f t="shared" si="28"/>
        <v>54</v>
      </c>
      <c r="Q272" s="2">
        <v>300</v>
      </c>
      <c r="R272" s="2">
        <v>300</v>
      </c>
      <c r="S272" s="2">
        <v>300</v>
      </c>
      <c r="T272" s="2">
        <v>300</v>
      </c>
      <c r="U272" s="2">
        <v>300</v>
      </c>
      <c r="V272" s="2">
        <v>300</v>
      </c>
    </row>
    <row r="273" spans="1:23" ht="15.6" x14ac:dyDescent="0.3">
      <c r="A273" s="12" t="s">
        <v>159</v>
      </c>
      <c r="B273" s="2" t="s">
        <v>270</v>
      </c>
      <c r="C273" s="2" t="s">
        <v>265</v>
      </c>
      <c r="E273" s="2" t="s">
        <v>269</v>
      </c>
      <c r="G273" s="5"/>
      <c r="H273" s="17">
        <v>46069</v>
      </c>
      <c r="I273" s="18"/>
      <c r="K273" s="2">
        <v>6000</v>
      </c>
      <c r="L273" s="3">
        <f t="shared" si="26"/>
        <v>5900</v>
      </c>
      <c r="M273" s="20"/>
      <c r="O273" s="6" t="str">
        <f t="shared" si="27"/>
        <v>Open</v>
      </c>
      <c r="P273" s="3">
        <f t="shared" si="28"/>
        <v>59</v>
      </c>
      <c r="Q273" s="2">
        <v>100</v>
      </c>
    </row>
    <row r="274" spans="1:23" ht="15.6" x14ac:dyDescent="0.3">
      <c r="A274" s="2" t="s">
        <v>271</v>
      </c>
      <c r="B274" s="2" t="s">
        <v>71</v>
      </c>
      <c r="C274" s="2" t="s">
        <v>280</v>
      </c>
      <c r="E274" s="2" t="s">
        <v>85</v>
      </c>
      <c r="G274" s="5">
        <v>46062</v>
      </c>
      <c r="H274" s="17">
        <v>46069</v>
      </c>
      <c r="I274" s="17">
        <f t="shared" ref="I274:I337" si="29">G274+60</f>
        <v>46122</v>
      </c>
      <c r="J274" s="16">
        <f t="shared" ref="J274:J337" si="30">I274-H274</f>
        <v>53</v>
      </c>
      <c r="K274" s="2">
        <v>6000</v>
      </c>
      <c r="L274" s="3">
        <f t="shared" si="26"/>
        <v>5300</v>
      </c>
      <c r="M274" s="20" t="b">
        <f t="shared" ref="M274:M337" si="31">J274=P274</f>
        <v>1</v>
      </c>
      <c r="O274" s="6" t="str">
        <f t="shared" si="27"/>
        <v>Open</v>
      </c>
      <c r="P274" s="3">
        <f t="shared" si="28"/>
        <v>53</v>
      </c>
      <c r="Q274" s="2">
        <v>100</v>
      </c>
      <c r="R274" s="2">
        <v>100</v>
      </c>
      <c r="S274" s="2">
        <v>100</v>
      </c>
      <c r="T274" s="2">
        <v>100</v>
      </c>
      <c r="U274" s="2">
        <v>100</v>
      </c>
      <c r="V274" s="2">
        <v>100</v>
      </c>
      <c r="W274" s="2">
        <v>100</v>
      </c>
    </row>
    <row r="275" spans="1:23" ht="15.6" x14ac:dyDescent="0.3">
      <c r="A275" s="2" t="s">
        <v>271</v>
      </c>
      <c r="B275" s="2" t="s">
        <v>71</v>
      </c>
      <c r="C275" s="2" t="s">
        <v>280</v>
      </c>
      <c r="E275" s="2" t="s">
        <v>248</v>
      </c>
      <c r="G275" s="5">
        <v>46062</v>
      </c>
      <c r="H275" s="17">
        <v>46069</v>
      </c>
      <c r="I275" s="17">
        <f t="shared" si="29"/>
        <v>46122</v>
      </c>
      <c r="J275" s="16">
        <f t="shared" si="30"/>
        <v>53</v>
      </c>
      <c r="K275" s="2">
        <v>6000</v>
      </c>
      <c r="L275" s="3">
        <f t="shared" si="26"/>
        <v>5300</v>
      </c>
      <c r="M275" s="20" t="b">
        <f t="shared" si="31"/>
        <v>1</v>
      </c>
      <c r="O275" s="6" t="str">
        <f t="shared" si="27"/>
        <v>Open</v>
      </c>
      <c r="P275" s="3">
        <f t="shared" si="28"/>
        <v>53</v>
      </c>
      <c r="Q275" s="2">
        <v>100</v>
      </c>
      <c r="R275" s="2">
        <v>100</v>
      </c>
      <c r="S275" s="2">
        <v>100</v>
      </c>
      <c r="T275" s="2">
        <v>100</v>
      </c>
      <c r="U275" s="2">
        <v>100</v>
      </c>
      <c r="V275" s="2">
        <v>100</v>
      </c>
      <c r="W275" s="2">
        <v>100</v>
      </c>
    </row>
    <row r="276" spans="1:23" ht="15.6" x14ac:dyDescent="0.3">
      <c r="A276" s="2" t="s">
        <v>271</v>
      </c>
      <c r="B276" s="2" t="s">
        <v>71</v>
      </c>
      <c r="C276" s="2" t="s">
        <v>280</v>
      </c>
      <c r="E276" s="2" t="s">
        <v>291</v>
      </c>
      <c r="G276" s="5">
        <v>46062</v>
      </c>
      <c r="H276" s="17">
        <v>46069</v>
      </c>
      <c r="I276" s="17">
        <f t="shared" si="29"/>
        <v>46122</v>
      </c>
      <c r="J276" s="16">
        <f t="shared" si="30"/>
        <v>53</v>
      </c>
      <c r="K276" s="2">
        <v>12000</v>
      </c>
      <c r="L276" s="3">
        <f t="shared" si="26"/>
        <v>10600</v>
      </c>
      <c r="M276" s="20" t="b">
        <f t="shared" si="31"/>
        <v>1</v>
      </c>
      <c r="O276" s="6" t="str">
        <f t="shared" si="27"/>
        <v>Open</v>
      </c>
      <c r="P276" s="3">
        <f t="shared" si="28"/>
        <v>53</v>
      </c>
      <c r="Q276" s="2">
        <v>200</v>
      </c>
      <c r="R276" s="2">
        <v>200</v>
      </c>
      <c r="S276" s="2">
        <v>200</v>
      </c>
      <c r="T276" s="2">
        <v>200</v>
      </c>
      <c r="U276" s="2">
        <v>200</v>
      </c>
      <c r="V276" s="2">
        <v>200</v>
      </c>
      <c r="W276" s="2">
        <v>200</v>
      </c>
    </row>
    <row r="277" spans="1:23" ht="15.6" x14ac:dyDescent="0.3">
      <c r="A277" s="2" t="s">
        <v>271</v>
      </c>
      <c r="B277" s="2" t="s">
        <v>71</v>
      </c>
      <c r="C277" s="2" t="s">
        <v>280</v>
      </c>
      <c r="E277" s="2" t="s">
        <v>209</v>
      </c>
      <c r="G277" s="5">
        <v>46062</v>
      </c>
      <c r="H277" s="17">
        <v>46069</v>
      </c>
      <c r="I277" s="17">
        <f t="shared" si="29"/>
        <v>46122</v>
      </c>
      <c r="J277" s="16">
        <f t="shared" si="30"/>
        <v>53</v>
      </c>
      <c r="K277" s="2">
        <v>6000</v>
      </c>
      <c r="L277" s="3">
        <f t="shared" si="26"/>
        <v>5300</v>
      </c>
      <c r="M277" s="20" t="b">
        <f t="shared" si="31"/>
        <v>1</v>
      </c>
      <c r="O277" s="6" t="str">
        <f t="shared" si="27"/>
        <v>Open</v>
      </c>
      <c r="P277" s="3">
        <f t="shared" si="28"/>
        <v>53</v>
      </c>
      <c r="Q277" s="2">
        <v>100</v>
      </c>
      <c r="R277" s="2">
        <v>100</v>
      </c>
      <c r="S277" s="2">
        <v>100</v>
      </c>
      <c r="T277" s="2">
        <v>100</v>
      </c>
      <c r="U277" s="2">
        <v>100</v>
      </c>
      <c r="V277" s="2">
        <v>100</v>
      </c>
      <c r="W277" s="2">
        <v>100</v>
      </c>
    </row>
    <row r="278" spans="1:23" ht="15.6" x14ac:dyDescent="0.3">
      <c r="A278" s="2" t="s">
        <v>271</v>
      </c>
      <c r="B278" s="2" t="s">
        <v>71</v>
      </c>
      <c r="C278" s="2" t="s">
        <v>140</v>
      </c>
      <c r="E278" s="2" t="s">
        <v>210</v>
      </c>
      <c r="G278" s="5">
        <v>46062</v>
      </c>
      <c r="H278" s="17">
        <v>46069</v>
      </c>
      <c r="I278" s="17">
        <f t="shared" si="29"/>
        <v>46122</v>
      </c>
      <c r="J278" s="16">
        <f t="shared" si="30"/>
        <v>53</v>
      </c>
      <c r="K278" s="2">
        <v>12000</v>
      </c>
      <c r="L278" s="3">
        <f t="shared" si="26"/>
        <v>10600</v>
      </c>
      <c r="M278" s="20" t="b">
        <f t="shared" si="31"/>
        <v>1</v>
      </c>
      <c r="O278" s="6" t="str">
        <f t="shared" si="27"/>
        <v>Open</v>
      </c>
      <c r="P278" s="3">
        <f t="shared" si="28"/>
        <v>53</v>
      </c>
      <c r="Q278" s="2">
        <v>200</v>
      </c>
      <c r="R278" s="2">
        <v>200</v>
      </c>
      <c r="S278" s="2">
        <v>200</v>
      </c>
      <c r="T278" s="2">
        <v>200</v>
      </c>
      <c r="U278" s="2">
        <v>200</v>
      </c>
      <c r="V278" s="2">
        <v>200</v>
      </c>
      <c r="W278" s="2">
        <v>200</v>
      </c>
    </row>
    <row r="279" spans="1:23" ht="15.6" x14ac:dyDescent="0.3">
      <c r="A279" s="2" t="s">
        <v>271</v>
      </c>
      <c r="B279" s="2" t="s">
        <v>71</v>
      </c>
      <c r="C279" s="2" t="s">
        <v>140</v>
      </c>
      <c r="E279" s="2" t="s">
        <v>183</v>
      </c>
      <c r="G279" s="5">
        <v>46062</v>
      </c>
      <c r="H279" s="17">
        <v>46069</v>
      </c>
      <c r="I279" s="17">
        <f t="shared" si="29"/>
        <v>46122</v>
      </c>
      <c r="J279" s="16">
        <f t="shared" si="30"/>
        <v>53</v>
      </c>
      <c r="K279" s="2">
        <v>12000</v>
      </c>
      <c r="L279" s="3">
        <f t="shared" si="26"/>
        <v>10600</v>
      </c>
      <c r="M279" s="20" t="b">
        <f t="shared" si="31"/>
        <v>1</v>
      </c>
      <c r="O279" s="6" t="str">
        <f t="shared" si="27"/>
        <v>Open</v>
      </c>
      <c r="P279" s="3">
        <f t="shared" si="28"/>
        <v>53</v>
      </c>
      <c r="Q279" s="2">
        <v>200</v>
      </c>
      <c r="R279" s="2">
        <v>200</v>
      </c>
      <c r="S279" s="2">
        <v>200</v>
      </c>
      <c r="T279" s="2">
        <v>200</v>
      </c>
      <c r="U279" s="2">
        <v>200</v>
      </c>
      <c r="V279" s="2">
        <v>200</v>
      </c>
      <c r="W279" s="2">
        <v>200</v>
      </c>
    </row>
    <row r="280" spans="1:23" ht="15.6" x14ac:dyDescent="0.3">
      <c r="A280" s="2" t="s">
        <v>271</v>
      </c>
      <c r="B280" s="2" t="s">
        <v>71</v>
      </c>
      <c r="C280" s="2" t="s">
        <v>109</v>
      </c>
      <c r="E280" s="2" t="s">
        <v>288</v>
      </c>
      <c r="G280" s="5">
        <v>46063</v>
      </c>
      <c r="H280" s="17">
        <v>46069</v>
      </c>
      <c r="I280" s="17">
        <f t="shared" si="29"/>
        <v>46123</v>
      </c>
      <c r="J280" s="16">
        <f t="shared" si="30"/>
        <v>54</v>
      </c>
      <c r="K280" s="2">
        <v>12000</v>
      </c>
      <c r="L280" s="3">
        <f t="shared" si="26"/>
        <v>10800</v>
      </c>
      <c r="M280" s="20" t="b">
        <f t="shared" si="31"/>
        <v>1</v>
      </c>
      <c r="O280" s="6" t="str">
        <f t="shared" si="27"/>
        <v>Open</v>
      </c>
      <c r="P280" s="3">
        <f t="shared" si="28"/>
        <v>54</v>
      </c>
      <c r="Q280" s="2">
        <v>200</v>
      </c>
      <c r="R280" s="2">
        <v>200</v>
      </c>
      <c r="S280" s="2">
        <v>200</v>
      </c>
      <c r="T280" s="2">
        <v>200</v>
      </c>
      <c r="U280" s="2">
        <v>200</v>
      </c>
      <c r="V280" s="2">
        <v>200</v>
      </c>
    </row>
    <row r="281" spans="1:23" ht="15.6" x14ac:dyDescent="0.3">
      <c r="A281" s="2" t="s">
        <v>271</v>
      </c>
      <c r="B281" s="2" t="s">
        <v>71</v>
      </c>
      <c r="C281" s="2" t="s">
        <v>280</v>
      </c>
      <c r="E281" s="2" t="s">
        <v>289</v>
      </c>
      <c r="G281" s="5">
        <v>46063</v>
      </c>
      <c r="H281" s="17">
        <v>46069</v>
      </c>
      <c r="I281" s="17">
        <f t="shared" si="29"/>
        <v>46123</v>
      </c>
      <c r="J281" s="16">
        <f t="shared" si="30"/>
        <v>54</v>
      </c>
      <c r="K281" s="2">
        <v>6000</v>
      </c>
      <c r="L281" s="3">
        <f t="shared" si="26"/>
        <v>5400</v>
      </c>
      <c r="M281" s="20" t="b">
        <f t="shared" si="31"/>
        <v>1</v>
      </c>
      <c r="O281" s="6" t="str">
        <f t="shared" si="27"/>
        <v>Open</v>
      </c>
      <c r="P281" s="3">
        <f t="shared" si="28"/>
        <v>54</v>
      </c>
      <c r="Q281" s="2">
        <v>100</v>
      </c>
      <c r="R281" s="2">
        <v>100</v>
      </c>
      <c r="S281" s="2">
        <v>100</v>
      </c>
      <c r="T281" s="2">
        <v>100</v>
      </c>
      <c r="U281" s="2">
        <v>100</v>
      </c>
      <c r="V281" s="2">
        <v>100</v>
      </c>
    </row>
    <row r="282" spans="1:23" ht="15.6" x14ac:dyDescent="0.3">
      <c r="A282" s="2" t="s">
        <v>271</v>
      </c>
      <c r="B282" s="2" t="s">
        <v>71</v>
      </c>
      <c r="C282" s="2" t="s">
        <v>280</v>
      </c>
      <c r="E282" s="2" t="s">
        <v>110</v>
      </c>
      <c r="G282" s="5">
        <v>46063</v>
      </c>
      <c r="H282" s="17">
        <v>46069</v>
      </c>
      <c r="I282" s="17">
        <f t="shared" si="29"/>
        <v>46123</v>
      </c>
      <c r="J282" s="16">
        <f t="shared" si="30"/>
        <v>54</v>
      </c>
      <c r="K282" s="2">
        <v>6000</v>
      </c>
      <c r="L282" s="3">
        <f t="shared" si="26"/>
        <v>5400</v>
      </c>
      <c r="M282" s="20" t="b">
        <f t="shared" si="31"/>
        <v>1</v>
      </c>
      <c r="O282" s="6" t="str">
        <f t="shared" si="27"/>
        <v>Open</v>
      </c>
      <c r="P282" s="3">
        <f t="shared" si="28"/>
        <v>54</v>
      </c>
      <c r="Q282" s="2">
        <v>100</v>
      </c>
      <c r="R282" s="2">
        <v>100</v>
      </c>
      <c r="S282" s="2">
        <v>100</v>
      </c>
      <c r="T282" s="2">
        <v>100</v>
      </c>
      <c r="U282" s="2">
        <v>100</v>
      </c>
      <c r="V282" s="2">
        <v>100</v>
      </c>
    </row>
    <row r="283" spans="1:23" ht="15.6" x14ac:dyDescent="0.3">
      <c r="A283" s="2" t="s">
        <v>271</v>
      </c>
      <c r="B283" s="2" t="s">
        <v>71</v>
      </c>
      <c r="C283" s="2" t="s">
        <v>70</v>
      </c>
      <c r="E283" s="2" t="s">
        <v>104</v>
      </c>
      <c r="G283" s="5">
        <v>46063</v>
      </c>
      <c r="H283" s="17">
        <v>46069</v>
      </c>
      <c r="I283" s="17">
        <f t="shared" si="29"/>
        <v>46123</v>
      </c>
      <c r="J283" s="16">
        <f t="shared" si="30"/>
        <v>54</v>
      </c>
      <c r="K283" s="2">
        <v>12000</v>
      </c>
      <c r="L283" s="3">
        <f t="shared" si="26"/>
        <v>10800</v>
      </c>
      <c r="M283" s="20" t="b">
        <f t="shared" si="31"/>
        <v>1</v>
      </c>
      <c r="O283" s="6" t="str">
        <f t="shared" si="27"/>
        <v>Open</v>
      </c>
      <c r="P283" s="3">
        <f t="shared" si="28"/>
        <v>54</v>
      </c>
      <c r="Q283" s="2">
        <v>200</v>
      </c>
      <c r="R283" s="2">
        <v>200</v>
      </c>
      <c r="S283" s="2">
        <v>200</v>
      </c>
      <c r="T283" s="2">
        <v>200</v>
      </c>
      <c r="U283" s="2">
        <v>200</v>
      </c>
      <c r="V283" s="2">
        <v>200</v>
      </c>
    </row>
    <row r="284" spans="1:23" ht="15.6" x14ac:dyDescent="0.3">
      <c r="A284" s="2" t="s">
        <v>271</v>
      </c>
      <c r="B284" s="2" t="s">
        <v>71</v>
      </c>
      <c r="C284" s="2" t="s">
        <v>124</v>
      </c>
      <c r="E284" s="2" t="s">
        <v>136</v>
      </c>
      <c r="G284" s="5">
        <v>46063</v>
      </c>
      <c r="H284" s="17">
        <v>46069</v>
      </c>
      <c r="I284" s="17">
        <f t="shared" si="29"/>
        <v>46123</v>
      </c>
      <c r="J284" s="16">
        <f t="shared" si="30"/>
        <v>54</v>
      </c>
      <c r="K284" s="2">
        <v>12000</v>
      </c>
      <c r="L284" s="3">
        <f t="shared" si="26"/>
        <v>10800</v>
      </c>
      <c r="M284" s="20" t="b">
        <f t="shared" si="31"/>
        <v>1</v>
      </c>
      <c r="O284" s="6" t="str">
        <f t="shared" si="27"/>
        <v>Open</v>
      </c>
      <c r="P284" s="3">
        <f t="shared" si="28"/>
        <v>54</v>
      </c>
      <c r="Q284" s="2">
        <v>200</v>
      </c>
      <c r="R284" s="2">
        <v>200</v>
      </c>
      <c r="S284" s="2">
        <v>200</v>
      </c>
      <c r="T284" s="2">
        <v>200</v>
      </c>
      <c r="U284" s="2">
        <v>200</v>
      </c>
      <c r="V284" s="2">
        <v>200</v>
      </c>
    </row>
    <row r="285" spans="1:23" ht="15.6" x14ac:dyDescent="0.3">
      <c r="A285" s="2" t="s">
        <v>271</v>
      </c>
      <c r="B285" s="2" t="s">
        <v>71</v>
      </c>
      <c r="C285" s="2" t="s">
        <v>127</v>
      </c>
      <c r="E285" s="2" t="s">
        <v>136</v>
      </c>
      <c r="G285" s="5">
        <v>46063</v>
      </c>
      <c r="H285" s="17">
        <v>46069</v>
      </c>
      <c r="I285" s="17">
        <f t="shared" si="29"/>
        <v>46123</v>
      </c>
      <c r="J285" s="16">
        <f t="shared" si="30"/>
        <v>54</v>
      </c>
      <c r="K285" s="2">
        <v>12000</v>
      </c>
      <c r="L285" s="3">
        <f t="shared" si="26"/>
        <v>10800</v>
      </c>
      <c r="M285" s="20" t="b">
        <f t="shared" si="31"/>
        <v>1</v>
      </c>
      <c r="N285" s="2" t="s">
        <v>286</v>
      </c>
      <c r="O285" s="6" t="str">
        <f t="shared" si="27"/>
        <v>Open</v>
      </c>
      <c r="P285" s="3">
        <f t="shared" si="28"/>
        <v>54</v>
      </c>
      <c r="Q285" s="2">
        <v>200</v>
      </c>
      <c r="R285" s="2">
        <v>200</v>
      </c>
      <c r="S285" s="2">
        <v>200</v>
      </c>
      <c r="T285" s="2">
        <v>200</v>
      </c>
      <c r="U285" s="2">
        <v>200</v>
      </c>
      <c r="V285" s="2">
        <v>200</v>
      </c>
    </row>
    <row r="286" spans="1:23" ht="15.6" x14ac:dyDescent="0.3">
      <c r="A286" s="2" t="s">
        <v>271</v>
      </c>
      <c r="B286" s="2" t="s">
        <v>71</v>
      </c>
      <c r="C286" s="2" t="s">
        <v>282</v>
      </c>
      <c r="E286" s="2" t="s">
        <v>94</v>
      </c>
      <c r="G286" s="5">
        <v>46064</v>
      </c>
      <c r="H286" s="17">
        <v>46069</v>
      </c>
      <c r="I286" s="17">
        <f t="shared" si="29"/>
        <v>46124</v>
      </c>
      <c r="J286" s="16">
        <f t="shared" si="30"/>
        <v>55</v>
      </c>
      <c r="K286" s="2">
        <v>12000</v>
      </c>
      <c r="L286" s="3">
        <f t="shared" si="26"/>
        <v>11000</v>
      </c>
      <c r="M286" s="20" t="b">
        <f t="shared" si="31"/>
        <v>1</v>
      </c>
      <c r="O286" s="6" t="str">
        <f t="shared" si="27"/>
        <v>Open</v>
      </c>
      <c r="P286" s="3">
        <f t="shared" si="28"/>
        <v>55</v>
      </c>
      <c r="Q286" s="2">
        <v>200</v>
      </c>
      <c r="R286" s="2">
        <v>200</v>
      </c>
      <c r="S286" s="2">
        <v>200</v>
      </c>
      <c r="T286" s="2">
        <v>200</v>
      </c>
      <c r="U286" s="2">
        <v>200</v>
      </c>
    </row>
    <row r="287" spans="1:23" ht="15.6" x14ac:dyDescent="0.3">
      <c r="A287" s="2" t="s">
        <v>271</v>
      </c>
      <c r="B287" s="2" t="s">
        <v>71</v>
      </c>
      <c r="C287" s="2" t="s">
        <v>282</v>
      </c>
      <c r="E287" s="2" t="s">
        <v>283</v>
      </c>
      <c r="G287" s="5">
        <v>46064</v>
      </c>
      <c r="H287" s="17">
        <v>46069</v>
      </c>
      <c r="I287" s="17">
        <f t="shared" si="29"/>
        <v>46124</v>
      </c>
      <c r="J287" s="16">
        <f t="shared" si="30"/>
        <v>55</v>
      </c>
      <c r="K287" s="2">
        <v>12000</v>
      </c>
      <c r="L287" s="3">
        <f t="shared" si="26"/>
        <v>11000</v>
      </c>
      <c r="M287" s="20" t="b">
        <f t="shared" si="31"/>
        <v>1</v>
      </c>
      <c r="O287" s="6" t="str">
        <f t="shared" si="27"/>
        <v>Open</v>
      </c>
      <c r="P287" s="3">
        <f t="shared" si="28"/>
        <v>55</v>
      </c>
      <c r="Q287" s="2">
        <v>200</v>
      </c>
      <c r="R287" s="2">
        <v>200</v>
      </c>
      <c r="S287" s="2">
        <v>200</v>
      </c>
      <c r="T287" s="2">
        <v>200</v>
      </c>
      <c r="U287" s="2">
        <v>200</v>
      </c>
    </row>
    <row r="288" spans="1:23" ht="15.6" x14ac:dyDescent="0.3">
      <c r="A288" s="2" t="s">
        <v>271</v>
      </c>
      <c r="B288" s="2" t="s">
        <v>71</v>
      </c>
      <c r="C288" s="2" t="s">
        <v>282</v>
      </c>
      <c r="E288" s="2" t="s">
        <v>284</v>
      </c>
      <c r="G288" s="5">
        <v>46064</v>
      </c>
      <c r="H288" s="17">
        <v>46069</v>
      </c>
      <c r="I288" s="17">
        <f t="shared" si="29"/>
        <v>46124</v>
      </c>
      <c r="J288" s="16">
        <f t="shared" si="30"/>
        <v>55</v>
      </c>
      <c r="K288" s="2">
        <v>12000</v>
      </c>
      <c r="L288" s="3">
        <f t="shared" si="26"/>
        <v>11000</v>
      </c>
      <c r="M288" s="20" t="b">
        <f t="shared" si="31"/>
        <v>1</v>
      </c>
      <c r="O288" s="6" t="str">
        <f t="shared" si="27"/>
        <v>Open</v>
      </c>
      <c r="P288" s="3">
        <f t="shared" si="28"/>
        <v>55</v>
      </c>
      <c r="Q288" s="2">
        <v>200</v>
      </c>
      <c r="R288" s="2">
        <v>200</v>
      </c>
      <c r="S288" s="2">
        <v>200</v>
      </c>
      <c r="T288" s="2">
        <v>200</v>
      </c>
      <c r="U288" s="2">
        <v>200</v>
      </c>
    </row>
    <row r="289" spans="1:21" ht="15.6" x14ac:dyDescent="0.3">
      <c r="A289" s="2" t="s">
        <v>271</v>
      </c>
      <c r="B289" s="2" t="s">
        <v>71</v>
      </c>
      <c r="C289" s="2" t="s">
        <v>282</v>
      </c>
      <c r="E289" s="2" t="s">
        <v>285</v>
      </c>
      <c r="G289" s="5">
        <v>46064</v>
      </c>
      <c r="H289" s="17">
        <v>46069</v>
      </c>
      <c r="I289" s="17">
        <f t="shared" si="29"/>
        <v>46124</v>
      </c>
      <c r="J289" s="16">
        <f t="shared" si="30"/>
        <v>55</v>
      </c>
      <c r="K289" s="2">
        <v>6000</v>
      </c>
      <c r="L289" s="3">
        <f t="shared" si="26"/>
        <v>5500</v>
      </c>
      <c r="M289" s="20" t="b">
        <f t="shared" si="31"/>
        <v>1</v>
      </c>
      <c r="O289" s="6" t="str">
        <f t="shared" si="27"/>
        <v>Open</v>
      </c>
      <c r="P289" s="3">
        <f t="shared" si="28"/>
        <v>55</v>
      </c>
      <c r="Q289" s="2">
        <v>100</v>
      </c>
      <c r="R289" s="2">
        <v>100</v>
      </c>
      <c r="S289" s="2">
        <v>100</v>
      </c>
      <c r="T289" s="2">
        <v>100</v>
      </c>
      <c r="U289" s="2">
        <v>100</v>
      </c>
    </row>
    <row r="290" spans="1:21" ht="15.6" x14ac:dyDescent="0.3">
      <c r="A290" s="2" t="s">
        <v>271</v>
      </c>
      <c r="B290" s="2" t="s">
        <v>71</v>
      </c>
      <c r="C290" s="2" t="s">
        <v>282</v>
      </c>
      <c r="E290" s="2" t="s">
        <v>107</v>
      </c>
      <c r="G290" s="5">
        <v>46064</v>
      </c>
      <c r="H290" s="17">
        <v>46069</v>
      </c>
      <c r="I290" s="17">
        <f t="shared" si="29"/>
        <v>46124</v>
      </c>
      <c r="J290" s="16">
        <f t="shared" si="30"/>
        <v>55</v>
      </c>
      <c r="K290" s="2">
        <v>12000</v>
      </c>
      <c r="L290" s="3">
        <f t="shared" si="26"/>
        <v>11000</v>
      </c>
      <c r="M290" s="20" t="b">
        <f t="shared" si="31"/>
        <v>1</v>
      </c>
      <c r="O290" s="6" t="str">
        <f t="shared" si="27"/>
        <v>Open</v>
      </c>
      <c r="P290" s="3">
        <f t="shared" si="28"/>
        <v>55</v>
      </c>
      <c r="Q290" s="2">
        <v>200</v>
      </c>
      <c r="R290" s="2">
        <v>200</v>
      </c>
      <c r="S290" s="2">
        <v>200</v>
      </c>
      <c r="T290" s="2">
        <v>200</v>
      </c>
      <c r="U290" s="2">
        <v>200</v>
      </c>
    </row>
    <row r="291" spans="1:21" ht="15.6" x14ac:dyDescent="0.3">
      <c r="A291" s="2" t="s">
        <v>271</v>
      </c>
      <c r="B291" s="2" t="s">
        <v>71</v>
      </c>
      <c r="C291" s="2" t="s">
        <v>282</v>
      </c>
      <c r="E291" s="2" t="s">
        <v>130</v>
      </c>
      <c r="G291" s="5">
        <v>46064</v>
      </c>
      <c r="H291" s="17">
        <v>46069</v>
      </c>
      <c r="I291" s="17">
        <f t="shared" si="29"/>
        <v>46124</v>
      </c>
      <c r="J291" s="16">
        <f t="shared" si="30"/>
        <v>55</v>
      </c>
      <c r="K291" s="2">
        <v>12000</v>
      </c>
      <c r="L291" s="3">
        <f t="shared" si="26"/>
        <v>11000</v>
      </c>
      <c r="M291" s="20" t="b">
        <f t="shared" si="31"/>
        <v>1</v>
      </c>
      <c r="O291" s="6" t="str">
        <f t="shared" si="27"/>
        <v>Open</v>
      </c>
      <c r="P291" s="3">
        <f t="shared" si="28"/>
        <v>55</v>
      </c>
      <c r="Q291" s="2">
        <v>200</v>
      </c>
      <c r="R291" s="2">
        <v>200</v>
      </c>
      <c r="S291" s="2">
        <v>200</v>
      </c>
      <c r="T291" s="2">
        <v>200</v>
      </c>
      <c r="U291" s="2">
        <v>200</v>
      </c>
    </row>
    <row r="292" spans="1:21" ht="15.6" x14ac:dyDescent="0.3">
      <c r="A292" s="2" t="s">
        <v>271</v>
      </c>
      <c r="B292" s="2" t="s">
        <v>71</v>
      </c>
      <c r="C292" s="2" t="s">
        <v>109</v>
      </c>
      <c r="E292" s="2" t="s">
        <v>178</v>
      </c>
      <c r="G292" s="5">
        <v>46064</v>
      </c>
      <c r="H292" s="17">
        <v>46069</v>
      </c>
      <c r="I292" s="17">
        <f t="shared" si="29"/>
        <v>46124</v>
      </c>
      <c r="J292" s="16">
        <f t="shared" si="30"/>
        <v>55</v>
      </c>
      <c r="K292" s="2">
        <v>6000</v>
      </c>
      <c r="L292" s="3">
        <f t="shared" si="26"/>
        <v>5500</v>
      </c>
      <c r="M292" s="20" t="b">
        <f t="shared" si="31"/>
        <v>1</v>
      </c>
      <c r="O292" s="6" t="str">
        <f t="shared" si="27"/>
        <v>Open</v>
      </c>
      <c r="P292" s="3">
        <f t="shared" si="28"/>
        <v>55</v>
      </c>
      <c r="Q292" s="2">
        <v>100</v>
      </c>
      <c r="R292" s="2">
        <v>100</v>
      </c>
      <c r="S292" s="2">
        <v>100</v>
      </c>
      <c r="T292" s="2">
        <v>100</v>
      </c>
      <c r="U292" s="2">
        <v>100</v>
      </c>
    </row>
    <row r="293" spans="1:21" ht="15.6" x14ac:dyDescent="0.3">
      <c r="A293" s="2" t="s">
        <v>271</v>
      </c>
      <c r="B293" s="2" t="s">
        <v>71</v>
      </c>
      <c r="C293" s="2" t="s">
        <v>140</v>
      </c>
      <c r="E293" s="2" t="s">
        <v>74</v>
      </c>
      <c r="G293" s="5">
        <v>46064</v>
      </c>
      <c r="H293" s="17">
        <v>46069</v>
      </c>
      <c r="I293" s="17">
        <f t="shared" si="29"/>
        <v>46124</v>
      </c>
      <c r="J293" s="16">
        <f t="shared" si="30"/>
        <v>55</v>
      </c>
      <c r="K293" s="2">
        <v>12000</v>
      </c>
      <c r="L293" s="3">
        <f t="shared" si="26"/>
        <v>11000</v>
      </c>
      <c r="M293" s="20" t="b">
        <f t="shared" si="31"/>
        <v>1</v>
      </c>
      <c r="O293" s="6" t="str">
        <f t="shared" si="27"/>
        <v>Open</v>
      </c>
      <c r="P293" s="3">
        <f t="shared" si="28"/>
        <v>55</v>
      </c>
      <c r="Q293" s="2">
        <v>200</v>
      </c>
      <c r="R293" s="2">
        <v>200</v>
      </c>
      <c r="S293" s="2">
        <v>200</v>
      </c>
      <c r="T293" s="2">
        <v>200</v>
      </c>
      <c r="U293" s="2">
        <v>200</v>
      </c>
    </row>
    <row r="294" spans="1:21" ht="15.6" x14ac:dyDescent="0.3">
      <c r="A294" s="2" t="s">
        <v>271</v>
      </c>
      <c r="B294" s="2" t="s">
        <v>71</v>
      </c>
      <c r="C294" s="2" t="s">
        <v>144</v>
      </c>
      <c r="E294" s="2" t="s">
        <v>91</v>
      </c>
      <c r="G294" s="5">
        <v>46064</v>
      </c>
      <c r="H294" s="17">
        <v>46069</v>
      </c>
      <c r="I294" s="17">
        <f t="shared" si="29"/>
        <v>46124</v>
      </c>
      <c r="J294" s="16">
        <f t="shared" si="30"/>
        <v>55</v>
      </c>
      <c r="K294" s="2">
        <v>12000</v>
      </c>
      <c r="L294" s="3">
        <f t="shared" si="26"/>
        <v>11000</v>
      </c>
      <c r="M294" s="20" t="b">
        <f t="shared" si="31"/>
        <v>1</v>
      </c>
      <c r="N294" s="2" t="s">
        <v>286</v>
      </c>
      <c r="O294" s="6" t="str">
        <f t="shared" si="27"/>
        <v>Open</v>
      </c>
      <c r="P294" s="3">
        <f t="shared" si="28"/>
        <v>55</v>
      </c>
      <c r="Q294" s="2">
        <v>200</v>
      </c>
      <c r="R294" s="2">
        <v>200</v>
      </c>
      <c r="S294" s="2">
        <v>200</v>
      </c>
      <c r="T294" s="2">
        <v>200</v>
      </c>
      <c r="U294" s="2">
        <v>200</v>
      </c>
    </row>
    <row r="295" spans="1:21" ht="15.6" x14ac:dyDescent="0.3">
      <c r="A295" s="2" t="s">
        <v>271</v>
      </c>
      <c r="B295" s="2" t="s">
        <v>71</v>
      </c>
      <c r="C295" s="2" t="s">
        <v>275</v>
      </c>
      <c r="E295" s="2" t="s">
        <v>276</v>
      </c>
      <c r="G295" s="5">
        <v>46065</v>
      </c>
      <c r="H295" s="17">
        <v>46069</v>
      </c>
      <c r="I295" s="17">
        <f t="shared" si="29"/>
        <v>46125</v>
      </c>
      <c r="J295" s="16">
        <f t="shared" si="30"/>
        <v>56</v>
      </c>
      <c r="K295" s="2">
        <v>6000</v>
      </c>
      <c r="L295" s="3">
        <f t="shared" si="26"/>
        <v>5600</v>
      </c>
      <c r="M295" s="20" t="b">
        <f t="shared" si="31"/>
        <v>1</v>
      </c>
      <c r="O295" s="6" t="str">
        <f t="shared" si="27"/>
        <v>Open</v>
      </c>
      <c r="P295" s="3">
        <f t="shared" si="28"/>
        <v>56</v>
      </c>
      <c r="Q295" s="2">
        <v>100</v>
      </c>
      <c r="R295" s="2">
        <v>100</v>
      </c>
      <c r="S295" s="2">
        <v>100</v>
      </c>
      <c r="T295" s="2">
        <v>100</v>
      </c>
    </row>
    <row r="296" spans="1:21" ht="15.6" x14ac:dyDescent="0.3">
      <c r="A296" s="2" t="s">
        <v>271</v>
      </c>
      <c r="B296" s="2" t="s">
        <v>71</v>
      </c>
      <c r="C296" s="2" t="s">
        <v>275</v>
      </c>
      <c r="E296" s="2" t="s">
        <v>81</v>
      </c>
      <c r="G296" s="5">
        <v>46065</v>
      </c>
      <c r="H296" s="17">
        <v>46069</v>
      </c>
      <c r="I296" s="17">
        <f t="shared" si="29"/>
        <v>46125</v>
      </c>
      <c r="J296" s="16">
        <f t="shared" si="30"/>
        <v>56</v>
      </c>
      <c r="K296" s="2">
        <v>12000</v>
      </c>
      <c r="L296" s="3">
        <f t="shared" si="26"/>
        <v>11200</v>
      </c>
      <c r="M296" s="20" t="b">
        <f t="shared" si="31"/>
        <v>1</v>
      </c>
      <c r="O296" s="6" t="str">
        <f t="shared" si="27"/>
        <v>Open</v>
      </c>
      <c r="P296" s="3">
        <f t="shared" si="28"/>
        <v>56</v>
      </c>
      <c r="Q296" s="2">
        <v>200</v>
      </c>
      <c r="R296" s="2">
        <v>200</v>
      </c>
      <c r="S296" s="2">
        <v>200</v>
      </c>
      <c r="T296" s="2">
        <v>200</v>
      </c>
    </row>
    <row r="297" spans="1:21" ht="15.6" x14ac:dyDescent="0.3">
      <c r="A297" s="2" t="s">
        <v>271</v>
      </c>
      <c r="B297" s="2" t="s">
        <v>71</v>
      </c>
      <c r="C297" s="2" t="s">
        <v>275</v>
      </c>
      <c r="E297" s="2" t="s">
        <v>277</v>
      </c>
      <c r="G297" s="5">
        <v>46065</v>
      </c>
      <c r="H297" s="17">
        <v>46069</v>
      </c>
      <c r="I297" s="17">
        <f t="shared" si="29"/>
        <v>46125</v>
      </c>
      <c r="J297" s="16">
        <f t="shared" si="30"/>
        <v>56</v>
      </c>
      <c r="K297" s="2">
        <v>12000</v>
      </c>
      <c r="L297" s="3">
        <f t="shared" si="26"/>
        <v>11200</v>
      </c>
      <c r="M297" s="20" t="b">
        <f t="shared" si="31"/>
        <v>1</v>
      </c>
      <c r="O297" s="6" t="str">
        <f t="shared" si="27"/>
        <v>Open</v>
      </c>
      <c r="P297" s="3">
        <f t="shared" si="28"/>
        <v>56</v>
      </c>
      <c r="Q297" s="2">
        <v>200</v>
      </c>
      <c r="R297" s="2">
        <v>200</v>
      </c>
      <c r="S297" s="2">
        <v>200</v>
      </c>
      <c r="T297" s="2">
        <v>200</v>
      </c>
    </row>
    <row r="298" spans="1:21" ht="15.6" x14ac:dyDescent="0.3">
      <c r="A298" s="2" t="s">
        <v>271</v>
      </c>
      <c r="B298" s="2" t="s">
        <v>71</v>
      </c>
      <c r="C298" s="2" t="s">
        <v>275</v>
      </c>
      <c r="E298" s="2" t="s">
        <v>80</v>
      </c>
      <c r="G298" s="5">
        <v>46065</v>
      </c>
      <c r="H298" s="17">
        <v>46069</v>
      </c>
      <c r="I298" s="17">
        <f t="shared" si="29"/>
        <v>46125</v>
      </c>
      <c r="J298" s="16">
        <f t="shared" si="30"/>
        <v>56</v>
      </c>
      <c r="K298" s="2">
        <v>6000</v>
      </c>
      <c r="L298" s="3">
        <f t="shared" si="26"/>
        <v>5600</v>
      </c>
      <c r="M298" s="20" t="b">
        <f t="shared" si="31"/>
        <v>1</v>
      </c>
      <c r="O298" s="6" t="str">
        <f t="shared" si="27"/>
        <v>Open</v>
      </c>
      <c r="P298" s="3">
        <f t="shared" si="28"/>
        <v>56</v>
      </c>
      <c r="Q298" s="2">
        <v>100</v>
      </c>
      <c r="R298" s="2">
        <v>100</v>
      </c>
      <c r="S298" s="2">
        <v>100</v>
      </c>
      <c r="T298" s="2">
        <v>100</v>
      </c>
    </row>
    <row r="299" spans="1:21" ht="15.6" x14ac:dyDescent="0.3">
      <c r="A299" s="2" t="s">
        <v>271</v>
      </c>
      <c r="B299" s="2" t="s">
        <v>71</v>
      </c>
      <c r="C299" s="2" t="s">
        <v>275</v>
      </c>
      <c r="E299" s="2" t="s">
        <v>278</v>
      </c>
      <c r="G299" s="5">
        <v>46065</v>
      </c>
      <c r="H299" s="17">
        <v>46069</v>
      </c>
      <c r="I299" s="17">
        <f t="shared" si="29"/>
        <v>46125</v>
      </c>
      <c r="J299" s="16">
        <f t="shared" si="30"/>
        <v>56</v>
      </c>
      <c r="K299" s="2">
        <v>12000</v>
      </c>
      <c r="L299" s="3">
        <f t="shared" si="26"/>
        <v>11200</v>
      </c>
      <c r="M299" s="20" t="b">
        <f t="shared" si="31"/>
        <v>1</v>
      </c>
      <c r="O299" s="6" t="str">
        <f t="shared" si="27"/>
        <v>Open</v>
      </c>
      <c r="P299" s="3">
        <f t="shared" si="28"/>
        <v>56</v>
      </c>
      <c r="Q299" s="2">
        <v>200</v>
      </c>
      <c r="R299" s="2">
        <v>200</v>
      </c>
      <c r="S299" s="2">
        <v>200</v>
      </c>
      <c r="T299" s="2">
        <v>200</v>
      </c>
    </row>
    <row r="300" spans="1:21" ht="15.6" x14ac:dyDescent="0.3">
      <c r="A300" s="2" t="s">
        <v>271</v>
      </c>
      <c r="B300" s="2" t="s">
        <v>71</v>
      </c>
      <c r="C300" s="2" t="s">
        <v>275</v>
      </c>
      <c r="E300" s="2" t="s">
        <v>121</v>
      </c>
      <c r="G300" s="5">
        <v>46065</v>
      </c>
      <c r="H300" s="17">
        <v>46069</v>
      </c>
      <c r="I300" s="17">
        <f t="shared" si="29"/>
        <v>46125</v>
      </c>
      <c r="J300" s="16">
        <f t="shared" si="30"/>
        <v>56</v>
      </c>
      <c r="K300" s="2">
        <v>6000</v>
      </c>
      <c r="L300" s="3">
        <f t="shared" si="26"/>
        <v>5600</v>
      </c>
      <c r="M300" s="20" t="b">
        <f t="shared" si="31"/>
        <v>1</v>
      </c>
      <c r="O300" s="6" t="str">
        <f t="shared" si="27"/>
        <v>Open</v>
      </c>
      <c r="P300" s="3">
        <f t="shared" si="28"/>
        <v>56</v>
      </c>
      <c r="Q300" s="2">
        <v>100</v>
      </c>
      <c r="R300" s="2">
        <v>100</v>
      </c>
      <c r="S300" s="2">
        <v>100</v>
      </c>
      <c r="T300" s="2">
        <v>100</v>
      </c>
    </row>
    <row r="301" spans="1:21" ht="15.6" x14ac:dyDescent="0.3">
      <c r="A301" s="2" t="s">
        <v>271</v>
      </c>
      <c r="B301" s="2" t="s">
        <v>71</v>
      </c>
      <c r="C301" s="2" t="s">
        <v>72</v>
      </c>
      <c r="E301" s="2" t="s">
        <v>279</v>
      </c>
      <c r="G301" s="5">
        <v>46065</v>
      </c>
      <c r="H301" s="17">
        <v>46069</v>
      </c>
      <c r="I301" s="17">
        <f t="shared" si="29"/>
        <v>46125</v>
      </c>
      <c r="J301" s="16">
        <f t="shared" si="30"/>
        <v>56</v>
      </c>
      <c r="K301" s="2">
        <v>12000</v>
      </c>
      <c r="L301" s="3">
        <f t="shared" si="26"/>
        <v>11200</v>
      </c>
      <c r="M301" s="20" t="b">
        <f t="shared" si="31"/>
        <v>1</v>
      </c>
      <c r="O301" s="6" t="str">
        <f t="shared" si="27"/>
        <v>Open</v>
      </c>
      <c r="P301" s="3">
        <f t="shared" si="28"/>
        <v>56</v>
      </c>
      <c r="Q301" s="2">
        <v>200</v>
      </c>
      <c r="R301" s="2">
        <v>200</v>
      </c>
      <c r="S301" s="2">
        <v>200</v>
      </c>
      <c r="T301" s="2">
        <v>200</v>
      </c>
    </row>
    <row r="302" spans="1:21" ht="15.6" x14ac:dyDescent="0.3">
      <c r="A302" s="2" t="s">
        <v>271</v>
      </c>
      <c r="B302" s="2" t="s">
        <v>71</v>
      </c>
      <c r="C302" s="2" t="s">
        <v>280</v>
      </c>
      <c r="E302" s="2" t="s">
        <v>281</v>
      </c>
      <c r="G302" s="5">
        <v>46065</v>
      </c>
      <c r="H302" s="17">
        <v>46069</v>
      </c>
      <c r="I302" s="17">
        <f t="shared" si="29"/>
        <v>46125</v>
      </c>
      <c r="J302" s="16">
        <f t="shared" si="30"/>
        <v>56</v>
      </c>
      <c r="K302" s="2">
        <v>6000</v>
      </c>
      <c r="L302" s="3">
        <f t="shared" si="26"/>
        <v>5600</v>
      </c>
      <c r="M302" s="20" t="b">
        <f t="shared" si="31"/>
        <v>1</v>
      </c>
      <c r="O302" s="6" t="str">
        <f t="shared" si="27"/>
        <v>Open</v>
      </c>
      <c r="P302" s="3">
        <f t="shared" si="28"/>
        <v>56</v>
      </c>
      <c r="Q302" s="2">
        <v>100</v>
      </c>
      <c r="R302" s="2">
        <v>100</v>
      </c>
      <c r="S302" s="2">
        <v>100</v>
      </c>
      <c r="T302" s="2">
        <v>100</v>
      </c>
    </row>
    <row r="303" spans="1:21" ht="15.6" x14ac:dyDescent="0.3">
      <c r="A303" s="2" t="s">
        <v>271</v>
      </c>
      <c r="B303" s="2" t="s">
        <v>71</v>
      </c>
      <c r="C303" s="2" t="s">
        <v>272</v>
      </c>
      <c r="E303" s="2" t="s">
        <v>200</v>
      </c>
      <c r="G303" s="5">
        <v>46066</v>
      </c>
      <c r="H303" s="17">
        <v>46069</v>
      </c>
      <c r="I303" s="17">
        <f t="shared" si="29"/>
        <v>46126</v>
      </c>
      <c r="J303" s="16">
        <f t="shared" si="30"/>
        <v>57</v>
      </c>
      <c r="K303" s="2">
        <v>12000</v>
      </c>
      <c r="L303" s="3">
        <f t="shared" si="26"/>
        <v>11400</v>
      </c>
      <c r="M303" s="20" t="b">
        <f t="shared" si="31"/>
        <v>1</v>
      </c>
      <c r="O303" s="6" t="str">
        <f t="shared" si="27"/>
        <v>Open</v>
      </c>
      <c r="P303" s="3">
        <f t="shared" si="28"/>
        <v>57</v>
      </c>
      <c r="Q303" s="2">
        <v>200</v>
      </c>
      <c r="R303" s="2">
        <v>200</v>
      </c>
      <c r="S303" s="2">
        <v>200</v>
      </c>
    </row>
    <row r="304" spans="1:21" ht="15.6" x14ac:dyDescent="0.3">
      <c r="A304" s="2" t="s">
        <v>271</v>
      </c>
      <c r="B304" s="2" t="s">
        <v>71</v>
      </c>
      <c r="C304" s="2" t="s">
        <v>272</v>
      </c>
      <c r="E304" s="2" t="s">
        <v>135</v>
      </c>
      <c r="G304" s="5">
        <v>46066</v>
      </c>
      <c r="H304" s="17">
        <v>46069</v>
      </c>
      <c r="I304" s="17">
        <f t="shared" si="29"/>
        <v>46126</v>
      </c>
      <c r="J304" s="16">
        <f t="shared" si="30"/>
        <v>57</v>
      </c>
      <c r="K304" s="2">
        <v>12000</v>
      </c>
      <c r="L304" s="3">
        <f t="shared" si="26"/>
        <v>11400</v>
      </c>
      <c r="M304" s="20" t="b">
        <f t="shared" si="31"/>
        <v>1</v>
      </c>
      <c r="O304" s="6" t="str">
        <f t="shared" si="27"/>
        <v>Open</v>
      </c>
      <c r="P304" s="3">
        <f t="shared" si="28"/>
        <v>57</v>
      </c>
      <c r="Q304" s="2">
        <v>200</v>
      </c>
      <c r="R304" s="2">
        <v>200</v>
      </c>
      <c r="S304" s="2">
        <v>200</v>
      </c>
    </row>
    <row r="305" spans="1:19" ht="15.6" x14ac:dyDescent="0.3">
      <c r="A305" s="2" t="s">
        <v>271</v>
      </c>
      <c r="B305" s="2" t="s">
        <v>71</v>
      </c>
      <c r="C305" s="2" t="s">
        <v>272</v>
      </c>
      <c r="E305" s="2" t="s">
        <v>204</v>
      </c>
      <c r="G305" s="5">
        <v>46066</v>
      </c>
      <c r="H305" s="17">
        <v>46069</v>
      </c>
      <c r="I305" s="17">
        <f t="shared" si="29"/>
        <v>46126</v>
      </c>
      <c r="J305" s="16">
        <f t="shared" si="30"/>
        <v>57</v>
      </c>
      <c r="K305" s="2">
        <v>6000</v>
      </c>
      <c r="L305" s="3">
        <f t="shared" si="26"/>
        <v>5700</v>
      </c>
      <c r="M305" s="20" t="b">
        <f t="shared" si="31"/>
        <v>1</v>
      </c>
      <c r="O305" s="6" t="str">
        <f t="shared" si="27"/>
        <v>Open</v>
      </c>
      <c r="P305" s="3">
        <f t="shared" si="28"/>
        <v>57</v>
      </c>
      <c r="Q305" s="2">
        <v>100</v>
      </c>
      <c r="R305" s="2">
        <v>100</v>
      </c>
      <c r="S305" s="2">
        <v>100</v>
      </c>
    </row>
    <row r="306" spans="1:19" ht="15.6" x14ac:dyDescent="0.3">
      <c r="A306" s="2" t="s">
        <v>271</v>
      </c>
      <c r="B306" s="2" t="s">
        <v>71</v>
      </c>
      <c r="C306" s="2" t="s">
        <v>272</v>
      </c>
      <c r="E306" s="2" t="s">
        <v>273</v>
      </c>
      <c r="G306" s="5">
        <v>46066</v>
      </c>
      <c r="H306" s="17">
        <v>46069</v>
      </c>
      <c r="I306" s="17">
        <f t="shared" si="29"/>
        <v>46126</v>
      </c>
      <c r="J306" s="16">
        <f t="shared" si="30"/>
        <v>57</v>
      </c>
      <c r="K306" s="2">
        <v>6000</v>
      </c>
      <c r="L306" s="3">
        <f t="shared" si="26"/>
        <v>5700</v>
      </c>
      <c r="M306" s="20" t="b">
        <f t="shared" si="31"/>
        <v>1</v>
      </c>
      <c r="O306" s="6" t="str">
        <f t="shared" si="27"/>
        <v>Open</v>
      </c>
      <c r="P306" s="3">
        <f t="shared" si="28"/>
        <v>57</v>
      </c>
      <c r="Q306" s="2">
        <v>100</v>
      </c>
      <c r="R306" s="2">
        <v>100</v>
      </c>
      <c r="S306" s="2">
        <v>100</v>
      </c>
    </row>
    <row r="307" spans="1:19" ht="15.6" x14ac:dyDescent="0.3">
      <c r="A307" s="2" t="s">
        <v>271</v>
      </c>
      <c r="B307" s="2" t="s">
        <v>71</v>
      </c>
      <c r="C307" s="2" t="s">
        <v>272</v>
      </c>
      <c r="E307" s="2" t="s">
        <v>274</v>
      </c>
      <c r="G307" s="5">
        <v>46066</v>
      </c>
      <c r="H307" s="17">
        <v>46069</v>
      </c>
      <c r="I307" s="17">
        <f t="shared" si="29"/>
        <v>46126</v>
      </c>
      <c r="J307" s="16">
        <f t="shared" si="30"/>
        <v>57</v>
      </c>
      <c r="K307" s="2">
        <v>12000</v>
      </c>
      <c r="L307" s="3">
        <f t="shared" si="26"/>
        <v>11400</v>
      </c>
      <c r="M307" s="20" t="b">
        <f t="shared" si="31"/>
        <v>1</v>
      </c>
      <c r="O307" s="6" t="str">
        <f t="shared" si="27"/>
        <v>Open</v>
      </c>
      <c r="P307" s="3">
        <f t="shared" si="28"/>
        <v>57</v>
      </c>
      <c r="Q307" s="2">
        <v>200</v>
      </c>
      <c r="R307" s="2">
        <v>200</v>
      </c>
      <c r="S307" s="2">
        <v>200</v>
      </c>
    </row>
    <row r="308" spans="1:19" ht="15.6" x14ac:dyDescent="0.3">
      <c r="A308" s="2" t="s">
        <v>271</v>
      </c>
      <c r="B308" s="2" t="s">
        <v>71</v>
      </c>
      <c r="C308" s="2" t="s">
        <v>140</v>
      </c>
      <c r="E308" s="2" t="s">
        <v>110</v>
      </c>
      <c r="G308" s="5">
        <v>46066</v>
      </c>
      <c r="H308" s="17">
        <v>46069</v>
      </c>
      <c r="I308" s="17">
        <f t="shared" si="29"/>
        <v>46126</v>
      </c>
      <c r="J308" s="16">
        <f t="shared" si="30"/>
        <v>57</v>
      </c>
      <c r="K308" s="2">
        <v>6000</v>
      </c>
      <c r="L308" s="3">
        <f t="shared" si="26"/>
        <v>5700</v>
      </c>
      <c r="M308" s="20" t="b">
        <f t="shared" si="31"/>
        <v>1</v>
      </c>
      <c r="O308" s="6" t="str">
        <f t="shared" si="27"/>
        <v>Open</v>
      </c>
      <c r="P308" s="3">
        <f t="shared" si="28"/>
        <v>57</v>
      </c>
      <c r="Q308" s="2">
        <v>100</v>
      </c>
      <c r="R308" s="2">
        <v>100</v>
      </c>
      <c r="S308" s="2">
        <v>100</v>
      </c>
    </row>
    <row r="309" spans="1:19" ht="15.6" x14ac:dyDescent="0.3">
      <c r="A309" s="2" t="s">
        <v>271</v>
      </c>
      <c r="B309" s="2" t="s">
        <v>71</v>
      </c>
      <c r="C309" s="2" t="s">
        <v>124</v>
      </c>
      <c r="E309" s="2" t="s">
        <v>87</v>
      </c>
      <c r="G309" s="5">
        <v>46067</v>
      </c>
      <c r="H309" s="17">
        <v>46069</v>
      </c>
      <c r="I309" s="17">
        <f t="shared" si="29"/>
        <v>46127</v>
      </c>
      <c r="J309" s="16">
        <f t="shared" si="30"/>
        <v>58</v>
      </c>
      <c r="K309" s="2">
        <v>12000</v>
      </c>
      <c r="L309" s="3">
        <f t="shared" si="26"/>
        <v>11600</v>
      </c>
      <c r="M309" s="20" t="b">
        <f t="shared" si="31"/>
        <v>1</v>
      </c>
      <c r="O309" s="6" t="str">
        <f t="shared" si="27"/>
        <v>Open</v>
      </c>
      <c r="P309" s="3">
        <f t="shared" si="28"/>
        <v>58</v>
      </c>
      <c r="Q309" s="2">
        <v>200</v>
      </c>
      <c r="R309" s="2">
        <v>200</v>
      </c>
    </row>
    <row r="310" spans="1:19" ht="15.6" x14ac:dyDescent="0.3">
      <c r="A310" s="2" t="s">
        <v>271</v>
      </c>
      <c r="B310" s="2" t="s">
        <v>71</v>
      </c>
      <c r="C310" s="2" t="s">
        <v>140</v>
      </c>
      <c r="E310" s="2" t="s">
        <v>171</v>
      </c>
      <c r="G310" s="5">
        <v>46067</v>
      </c>
      <c r="H310" s="17">
        <v>46069</v>
      </c>
      <c r="I310" s="17">
        <f t="shared" si="29"/>
        <v>46127</v>
      </c>
      <c r="J310" s="16">
        <f t="shared" si="30"/>
        <v>58</v>
      </c>
      <c r="K310" s="2">
        <v>6000</v>
      </c>
      <c r="L310" s="3">
        <f t="shared" si="26"/>
        <v>5800</v>
      </c>
      <c r="M310" s="20" t="b">
        <f t="shared" si="31"/>
        <v>1</v>
      </c>
      <c r="O310" s="6" t="str">
        <f t="shared" si="27"/>
        <v>Open</v>
      </c>
      <c r="P310" s="3">
        <f t="shared" si="28"/>
        <v>58</v>
      </c>
      <c r="Q310" s="2">
        <v>100</v>
      </c>
      <c r="R310" s="2">
        <v>100</v>
      </c>
    </row>
    <row r="311" spans="1:19" ht="15.6" x14ac:dyDescent="0.3">
      <c r="A311" s="2" t="s">
        <v>271</v>
      </c>
      <c r="B311" s="2" t="s">
        <v>71</v>
      </c>
      <c r="C311" s="2" t="s">
        <v>272</v>
      </c>
      <c r="E311" s="2" t="s">
        <v>295</v>
      </c>
      <c r="G311" s="5">
        <v>46069</v>
      </c>
      <c r="H311" s="17">
        <v>46069</v>
      </c>
      <c r="I311" s="17">
        <f t="shared" si="29"/>
        <v>46129</v>
      </c>
      <c r="J311" s="16">
        <f t="shared" si="30"/>
        <v>60</v>
      </c>
      <c r="K311" s="2">
        <v>12000</v>
      </c>
      <c r="L311" s="3">
        <f t="shared" si="26"/>
        <v>12000</v>
      </c>
      <c r="M311" s="20" t="b">
        <f t="shared" si="31"/>
        <v>1</v>
      </c>
      <c r="O311" s="6" t="str">
        <f t="shared" si="27"/>
        <v>Open</v>
      </c>
      <c r="P311" s="3">
        <f t="shared" si="28"/>
        <v>60</v>
      </c>
    </row>
    <row r="312" spans="1:19" ht="15.6" x14ac:dyDescent="0.3">
      <c r="A312" s="2" t="s">
        <v>271</v>
      </c>
      <c r="B312" s="2" t="s">
        <v>71</v>
      </c>
      <c r="C312" s="2" t="s">
        <v>272</v>
      </c>
      <c r="E312" s="2" t="s">
        <v>156</v>
      </c>
      <c r="G312" s="5">
        <v>46069</v>
      </c>
      <c r="H312" s="17">
        <v>46069</v>
      </c>
      <c r="I312" s="17">
        <f t="shared" si="29"/>
        <v>46129</v>
      </c>
      <c r="J312" s="16">
        <f t="shared" si="30"/>
        <v>60</v>
      </c>
      <c r="K312" s="2">
        <v>12000</v>
      </c>
      <c r="L312" s="3">
        <f t="shared" si="26"/>
        <v>12000</v>
      </c>
      <c r="M312" s="20" t="b">
        <f t="shared" si="31"/>
        <v>1</v>
      </c>
      <c r="O312" s="6" t="str">
        <f t="shared" si="27"/>
        <v>Open</v>
      </c>
      <c r="P312" s="3">
        <f t="shared" si="28"/>
        <v>60</v>
      </c>
    </row>
    <row r="313" spans="1:19" ht="15.6" x14ac:dyDescent="0.3">
      <c r="A313" s="2" t="s">
        <v>271</v>
      </c>
      <c r="B313" s="2" t="s">
        <v>71</v>
      </c>
      <c r="C313" s="2" t="s">
        <v>272</v>
      </c>
      <c r="E313" s="2" t="s">
        <v>296</v>
      </c>
      <c r="G313" s="5">
        <v>46069</v>
      </c>
      <c r="H313" s="17">
        <v>46069</v>
      </c>
      <c r="I313" s="17">
        <f t="shared" si="29"/>
        <v>46129</v>
      </c>
      <c r="J313" s="16">
        <f t="shared" si="30"/>
        <v>60</v>
      </c>
      <c r="K313" s="2">
        <v>12000</v>
      </c>
      <c r="L313" s="3">
        <f t="shared" si="26"/>
        <v>12000</v>
      </c>
      <c r="M313" s="20" t="b">
        <f t="shared" si="31"/>
        <v>1</v>
      </c>
      <c r="O313" s="6" t="str">
        <f t="shared" si="27"/>
        <v>Open</v>
      </c>
      <c r="P313" s="3">
        <f t="shared" si="28"/>
        <v>60</v>
      </c>
    </row>
    <row r="314" spans="1:19" ht="15.6" x14ac:dyDescent="0.3">
      <c r="A314" s="2" t="s">
        <v>271</v>
      </c>
      <c r="B314" s="2" t="s">
        <v>71</v>
      </c>
      <c r="C314" s="2" t="s">
        <v>127</v>
      </c>
      <c r="E314" s="2" t="s">
        <v>248</v>
      </c>
      <c r="G314" s="5">
        <v>46069</v>
      </c>
      <c r="H314" s="17">
        <v>46069</v>
      </c>
      <c r="I314" s="17">
        <f t="shared" si="29"/>
        <v>46129</v>
      </c>
      <c r="J314" s="16">
        <f t="shared" si="30"/>
        <v>60</v>
      </c>
      <c r="K314" s="2">
        <v>12000</v>
      </c>
      <c r="L314" s="3">
        <f t="shared" si="26"/>
        <v>12000</v>
      </c>
      <c r="M314" s="20" t="b">
        <f t="shared" si="31"/>
        <v>1</v>
      </c>
      <c r="O314" s="6" t="str">
        <f t="shared" si="27"/>
        <v>Open</v>
      </c>
      <c r="P314" s="3">
        <f t="shared" si="28"/>
        <v>60</v>
      </c>
    </row>
    <row r="315" spans="1:19" ht="15.6" x14ac:dyDescent="0.3">
      <c r="A315" s="2" t="s">
        <v>271</v>
      </c>
      <c r="B315" s="2" t="s">
        <v>71</v>
      </c>
      <c r="C315" s="2" t="s">
        <v>70</v>
      </c>
      <c r="E315" s="2" t="s">
        <v>84</v>
      </c>
      <c r="G315" s="5">
        <v>46069</v>
      </c>
      <c r="H315" s="17">
        <v>46069</v>
      </c>
      <c r="I315" s="17">
        <f t="shared" si="29"/>
        <v>46129</v>
      </c>
      <c r="J315" s="16">
        <f t="shared" si="30"/>
        <v>60</v>
      </c>
      <c r="K315" s="2">
        <v>12000</v>
      </c>
      <c r="L315" s="3">
        <f t="shared" si="26"/>
        <v>12000</v>
      </c>
      <c r="M315" s="20" t="b">
        <f t="shared" si="31"/>
        <v>1</v>
      </c>
      <c r="N315" s="2" t="s">
        <v>297</v>
      </c>
      <c r="O315" s="6" t="str">
        <f t="shared" si="27"/>
        <v>Open</v>
      </c>
      <c r="P315" s="3">
        <f t="shared" si="28"/>
        <v>60</v>
      </c>
    </row>
    <row r="316" spans="1:19" ht="15.6" x14ac:dyDescent="0.3">
      <c r="A316" s="2" t="s">
        <v>271</v>
      </c>
      <c r="B316" s="2" t="s">
        <v>71</v>
      </c>
      <c r="C316" s="2" t="s">
        <v>144</v>
      </c>
      <c r="E316" s="2" t="s">
        <v>198</v>
      </c>
      <c r="G316" s="5">
        <v>46069</v>
      </c>
      <c r="H316" s="17">
        <v>46069</v>
      </c>
      <c r="I316" s="17">
        <f t="shared" si="29"/>
        <v>46129</v>
      </c>
      <c r="J316" s="16">
        <f t="shared" si="30"/>
        <v>60</v>
      </c>
      <c r="K316" s="2">
        <v>12000</v>
      </c>
      <c r="L316" s="3">
        <f t="shared" si="26"/>
        <v>12000</v>
      </c>
      <c r="M316" s="20" t="b">
        <f t="shared" si="31"/>
        <v>1</v>
      </c>
      <c r="N316" s="2" t="s">
        <v>300</v>
      </c>
      <c r="O316" s="6" t="str">
        <f t="shared" si="27"/>
        <v>Open</v>
      </c>
      <c r="P316" s="3">
        <f t="shared" si="28"/>
        <v>60</v>
      </c>
    </row>
    <row r="317" spans="1:19" ht="15.6" x14ac:dyDescent="0.3">
      <c r="G317" s="5"/>
      <c r="H317" s="17">
        <v>46069</v>
      </c>
      <c r="I317" s="17">
        <f t="shared" si="29"/>
        <v>60</v>
      </c>
      <c r="J317" s="16">
        <f t="shared" si="30"/>
        <v>-46009</v>
      </c>
      <c r="L317" s="3">
        <f t="shared" si="26"/>
        <v>0</v>
      </c>
      <c r="M317" s="20" t="b">
        <f t="shared" si="31"/>
        <v>0</v>
      </c>
      <c r="O317" s="6" t="str">
        <f t="shared" si="27"/>
        <v>Open</v>
      </c>
      <c r="P317" s="3">
        <f t="shared" si="28"/>
        <v>60</v>
      </c>
    </row>
    <row r="318" spans="1:19" ht="15.6" x14ac:dyDescent="0.3">
      <c r="G318" s="5"/>
      <c r="H318" s="17">
        <v>46069</v>
      </c>
      <c r="I318" s="17">
        <f t="shared" si="29"/>
        <v>60</v>
      </c>
      <c r="J318" s="16">
        <f t="shared" si="30"/>
        <v>-46009</v>
      </c>
      <c r="L318" s="3">
        <f t="shared" si="26"/>
        <v>0</v>
      </c>
      <c r="M318" s="20" t="b">
        <f t="shared" si="31"/>
        <v>0</v>
      </c>
      <c r="O318" s="6" t="str">
        <f t="shared" si="27"/>
        <v>Open</v>
      </c>
      <c r="P318" s="3">
        <f t="shared" si="28"/>
        <v>60</v>
      </c>
    </row>
    <row r="319" spans="1:19" ht="15.6" x14ac:dyDescent="0.3">
      <c r="G319" s="5"/>
      <c r="H319" s="17">
        <v>46069</v>
      </c>
      <c r="I319" s="17">
        <f t="shared" si="29"/>
        <v>60</v>
      </c>
      <c r="J319" s="16">
        <f t="shared" si="30"/>
        <v>-46009</v>
      </c>
      <c r="L319" s="3">
        <f t="shared" si="26"/>
        <v>0</v>
      </c>
      <c r="M319" s="20" t="b">
        <f t="shared" si="31"/>
        <v>0</v>
      </c>
      <c r="O319" s="6" t="str">
        <f t="shared" si="27"/>
        <v>Open</v>
      </c>
      <c r="P319" s="3">
        <f t="shared" si="28"/>
        <v>60</v>
      </c>
    </row>
    <row r="320" spans="1:19" ht="15.6" x14ac:dyDescent="0.3">
      <c r="G320" s="5"/>
      <c r="H320" s="17">
        <v>46069</v>
      </c>
      <c r="I320" s="17">
        <f t="shared" si="29"/>
        <v>60</v>
      </c>
      <c r="J320" s="16">
        <f t="shared" si="30"/>
        <v>-46009</v>
      </c>
      <c r="L320" s="3">
        <f t="shared" si="26"/>
        <v>0</v>
      </c>
      <c r="M320" s="20" t="b">
        <f t="shared" si="31"/>
        <v>0</v>
      </c>
      <c r="O320" s="6" t="str">
        <f t="shared" si="27"/>
        <v>Open</v>
      </c>
      <c r="P320" s="3">
        <f t="shared" si="28"/>
        <v>60</v>
      </c>
    </row>
    <row r="321" spans="7:16" ht="15.6" x14ac:dyDescent="0.3">
      <c r="G321" s="5"/>
      <c r="H321" s="17">
        <v>46069</v>
      </c>
      <c r="I321" s="17">
        <f t="shared" si="29"/>
        <v>60</v>
      </c>
      <c r="J321" s="16">
        <f t="shared" si="30"/>
        <v>-46009</v>
      </c>
      <c r="L321" s="3">
        <f t="shared" si="26"/>
        <v>0</v>
      </c>
      <c r="M321" s="20" t="b">
        <f t="shared" si="31"/>
        <v>0</v>
      </c>
      <c r="O321" s="6" t="str">
        <f t="shared" si="27"/>
        <v>Open</v>
      </c>
      <c r="P321" s="3">
        <f t="shared" si="28"/>
        <v>60</v>
      </c>
    </row>
    <row r="322" spans="7:16" ht="15.6" x14ac:dyDescent="0.3">
      <c r="G322" s="5"/>
      <c r="H322" s="17">
        <v>46069</v>
      </c>
      <c r="I322" s="17">
        <f t="shared" si="29"/>
        <v>60</v>
      </c>
      <c r="J322" s="16">
        <f t="shared" si="30"/>
        <v>-46009</v>
      </c>
      <c r="L322" s="3">
        <f t="shared" ref="L322:L385" si="32">K322-SUM(Q322:BX322)</f>
        <v>0</v>
      </c>
      <c r="M322" s="20" t="b">
        <f t="shared" si="31"/>
        <v>0</v>
      </c>
      <c r="O322" s="6" t="str">
        <f t="shared" ref="O322:O385" si="33">IF(COUNTA(P322:BW322)=COLUMNS(P322:BW322),"Closed","Open")</f>
        <v>Open</v>
      </c>
      <c r="P322" s="3">
        <f t="shared" ref="P322:P385" si="34">60-COUNT(Q322:BX322)</f>
        <v>60</v>
      </c>
    </row>
    <row r="323" spans="7:16" ht="15.6" x14ac:dyDescent="0.3">
      <c r="G323" s="5"/>
      <c r="H323" s="17">
        <v>46069</v>
      </c>
      <c r="I323" s="17">
        <f t="shared" si="29"/>
        <v>60</v>
      </c>
      <c r="J323" s="16">
        <f t="shared" si="30"/>
        <v>-46009</v>
      </c>
      <c r="L323" s="3">
        <f t="shared" si="32"/>
        <v>0</v>
      </c>
      <c r="M323" s="20" t="b">
        <f t="shared" si="31"/>
        <v>0</v>
      </c>
      <c r="O323" s="6" t="str">
        <f t="shared" si="33"/>
        <v>Open</v>
      </c>
      <c r="P323" s="3">
        <f t="shared" si="34"/>
        <v>60</v>
      </c>
    </row>
    <row r="324" spans="7:16" ht="15.6" x14ac:dyDescent="0.3">
      <c r="G324" s="5"/>
      <c r="H324" s="17">
        <v>46069</v>
      </c>
      <c r="I324" s="17">
        <f t="shared" si="29"/>
        <v>60</v>
      </c>
      <c r="J324" s="16">
        <f t="shared" si="30"/>
        <v>-46009</v>
      </c>
      <c r="L324" s="3">
        <f t="shared" si="32"/>
        <v>0</v>
      </c>
      <c r="M324" s="20" t="b">
        <f t="shared" si="31"/>
        <v>0</v>
      </c>
      <c r="O324" s="6" t="str">
        <f t="shared" si="33"/>
        <v>Open</v>
      </c>
      <c r="P324" s="3">
        <f t="shared" si="34"/>
        <v>60</v>
      </c>
    </row>
    <row r="325" spans="7:16" ht="15.6" x14ac:dyDescent="0.3">
      <c r="G325" s="5"/>
      <c r="H325" s="17">
        <v>46069</v>
      </c>
      <c r="I325" s="17">
        <f t="shared" si="29"/>
        <v>60</v>
      </c>
      <c r="J325" s="16">
        <f t="shared" si="30"/>
        <v>-46009</v>
      </c>
      <c r="L325" s="3">
        <f t="shared" si="32"/>
        <v>0</v>
      </c>
      <c r="M325" s="20" t="b">
        <f t="shared" si="31"/>
        <v>0</v>
      </c>
      <c r="O325" s="6" t="str">
        <f t="shared" si="33"/>
        <v>Open</v>
      </c>
      <c r="P325" s="3">
        <f t="shared" si="34"/>
        <v>60</v>
      </c>
    </row>
    <row r="326" spans="7:16" ht="15.6" x14ac:dyDescent="0.3">
      <c r="G326" s="5"/>
      <c r="H326" s="17">
        <v>46069</v>
      </c>
      <c r="I326" s="17">
        <f t="shared" si="29"/>
        <v>60</v>
      </c>
      <c r="J326" s="16">
        <f t="shared" si="30"/>
        <v>-46009</v>
      </c>
      <c r="L326" s="3">
        <f t="shared" si="32"/>
        <v>0</v>
      </c>
      <c r="M326" s="20" t="b">
        <f t="shared" si="31"/>
        <v>0</v>
      </c>
      <c r="O326" s="6" t="str">
        <f t="shared" si="33"/>
        <v>Open</v>
      </c>
      <c r="P326" s="3">
        <f t="shared" si="34"/>
        <v>60</v>
      </c>
    </row>
    <row r="327" spans="7:16" ht="15.6" x14ac:dyDescent="0.3">
      <c r="G327" s="5"/>
      <c r="H327" s="17">
        <v>46069</v>
      </c>
      <c r="I327" s="17">
        <f t="shared" si="29"/>
        <v>60</v>
      </c>
      <c r="J327" s="16">
        <f t="shared" si="30"/>
        <v>-46009</v>
      </c>
      <c r="L327" s="3">
        <f t="shared" si="32"/>
        <v>0</v>
      </c>
      <c r="M327" s="20" t="b">
        <f t="shared" si="31"/>
        <v>0</v>
      </c>
      <c r="O327" s="6" t="str">
        <f t="shared" si="33"/>
        <v>Open</v>
      </c>
      <c r="P327" s="3">
        <f t="shared" si="34"/>
        <v>60</v>
      </c>
    </row>
    <row r="328" spans="7:16" ht="15.6" x14ac:dyDescent="0.3">
      <c r="G328" s="5"/>
      <c r="H328" s="17">
        <v>46069</v>
      </c>
      <c r="I328" s="17">
        <f t="shared" si="29"/>
        <v>60</v>
      </c>
      <c r="J328" s="16">
        <f t="shared" si="30"/>
        <v>-46009</v>
      </c>
      <c r="L328" s="3">
        <f t="shared" si="32"/>
        <v>0</v>
      </c>
      <c r="M328" s="20" t="b">
        <f t="shared" si="31"/>
        <v>0</v>
      </c>
      <c r="O328" s="6" t="str">
        <f t="shared" si="33"/>
        <v>Open</v>
      </c>
      <c r="P328" s="3">
        <f t="shared" si="34"/>
        <v>60</v>
      </c>
    </row>
    <row r="329" spans="7:16" ht="15.6" x14ac:dyDescent="0.3">
      <c r="G329" s="5"/>
      <c r="H329" s="17">
        <v>46069</v>
      </c>
      <c r="I329" s="17">
        <f t="shared" si="29"/>
        <v>60</v>
      </c>
      <c r="J329" s="16">
        <f t="shared" si="30"/>
        <v>-46009</v>
      </c>
      <c r="L329" s="3">
        <f t="shared" si="32"/>
        <v>0</v>
      </c>
      <c r="M329" s="20" t="b">
        <f t="shared" si="31"/>
        <v>0</v>
      </c>
      <c r="O329" s="6" t="str">
        <f t="shared" si="33"/>
        <v>Open</v>
      </c>
      <c r="P329" s="3">
        <f t="shared" si="34"/>
        <v>60</v>
      </c>
    </row>
    <row r="330" spans="7:16" ht="15.6" x14ac:dyDescent="0.3">
      <c r="G330" s="5"/>
      <c r="H330" s="17">
        <v>46069</v>
      </c>
      <c r="I330" s="17">
        <f t="shared" si="29"/>
        <v>60</v>
      </c>
      <c r="J330" s="16">
        <f t="shared" si="30"/>
        <v>-46009</v>
      </c>
      <c r="L330" s="3">
        <f t="shared" si="32"/>
        <v>0</v>
      </c>
      <c r="M330" s="20" t="b">
        <f t="shared" si="31"/>
        <v>0</v>
      </c>
      <c r="O330" s="6" t="str">
        <f t="shared" si="33"/>
        <v>Open</v>
      </c>
      <c r="P330" s="3">
        <f t="shared" si="34"/>
        <v>60</v>
      </c>
    </row>
    <row r="331" spans="7:16" ht="15.6" x14ac:dyDescent="0.3">
      <c r="G331" s="5"/>
      <c r="H331" s="17">
        <v>46069</v>
      </c>
      <c r="I331" s="17">
        <f t="shared" si="29"/>
        <v>60</v>
      </c>
      <c r="J331" s="16">
        <f t="shared" si="30"/>
        <v>-46009</v>
      </c>
      <c r="L331" s="3">
        <f t="shared" si="32"/>
        <v>0</v>
      </c>
      <c r="M331" s="20" t="b">
        <f t="shared" si="31"/>
        <v>0</v>
      </c>
      <c r="O331" s="6" t="str">
        <f t="shared" si="33"/>
        <v>Open</v>
      </c>
      <c r="P331" s="3">
        <f t="shared" si="34"/>
        <v>60</v>
      </c>
    </row>
    <row r="332" spans="7:16" ht="15.6" x14ac:dyDescent="0.3">
      <c r="G332" s="5"/>
      <c r="H332" s="17">
        <v>46069</v>
      </c>
      <c r="I332" s="17">
        <f t="shared" si="29"/>
        <v>60</v>
      </c>
      <c r="J332" s="16">
        <f t="shared" si="30"/>
        <v>-46009</v>
      </c>
      <c r="L332" s="3">
        <f t="shared" si="32"/>
        <v>0</v>
      </c>
      <c r="M332" s="20" t="b">
        <f t="shared" si="31"/>
        <v>0</v>
      </c>
      <c r="O332" s="6" t="str">
        <f t="shared" si="33"/>
        <v>Open</v>
      </c>
      <c r="P332" s="3">
        <f t="shared" si="34"/>
        <v>60</v>
      </c>
    </row>
    <row r="333" spans="7:16" ht="15.6" x14ac:dyDescent="0.3">
      <c r="G333" s="5"/>
      <c r="H333" s="17">
        <v>46069</v>
      </c>
      <c r="I333" s="17">
        <f t="shared" si="29"/>
        <v>60</v>
      </c>
      <c r="J333" s="16">
        <f t="shared" si="30"/>
        <v>-46009</v>
      </c>
      <c r="L333" s="3">
        <f t="shared" si="32"/>
        <v>0</v>
      </c>
      <c r="M333" s="20" t="b">
        <f t="shared" si="31"/>
        <v>0</v>
      </c>
      <c r="O333" s="6" t="str">
        <f t="shared" si="33"/>
        <v>Open</v>
      </c>
      <c r="P333" s="3">
        <f t="shared" si="34"/>
        <v>60</v>
      </c>
    </row>
    <row r="334" spans="7:16" ht="15.6" x14ac:dyDescent="0.3">
      <c r="G334" s="5"/>
      <c r="H334" s="17">
        <v>46069</v>
      </c>
      <c r="I334" s="17">
        <f t="shared" si="29"/>
        <v>60</v>
      </c>
      <c r="J334" s="16">
        <f t="shared" si="30"/>
        <v>-46009</v>
      </c>
      <c r="L334" s="3">
        <f t="shared" si="32"/>
        <v>0</v>
      </c>
      <c r="M334" s="20" t="b">
        <f t="shared" si="31"/>
        <v>0</v>
      </c>
      <c r="O334" s="6" t="str">
        <f t="shared" si="33"/>
        <v>Open</v>
      </c>
      <c r="P334" s="3">
        <f t="shared" si="34"/>
        <v>60</v>
      </c>
    </row>
    <row r="335" spans="7:16" ht="15.6" x14ac:dyDescent="0.3">
      <c r="G335" s="5"/>
      <c r="H335" s="17">
        <v>46069</v>
      </c>
      <c r="I335" s="17">
        <f t="shared" si="29"/>
        <v>60</v>
      </c>
      <c r="J335" s="16">
        <f t="shared" si="30"/>
        <v>-46009</v>
      </c>
      <c r="L335" s="3">
        <f t="shared" si="32"/>
        <v>0</v>
      </c>
      <c r="M335" s="20" t="b">
        <f t="shared" si="31"/>
        <v>0</v>
      </c>
      <c r="O335" s="6" t="str">
        <f t="shared" si="33"/>
        <v>Open</v>
      </c>
      <c r="P335" s="3">
        <f t="shared" si="34"/>
        <v>60</v>
      </c>
    </row>
    <row r="336" spans="7:16" ht="15.6" x14ac:dyDescent="0.3">
      <c r="G336" s="5"/>
      <c r="H336" s="17">
        <v>46069</v>
      </c>
      <c r="I336" s="17">
        <f t="shared" si="29"/>
        <v>60</v>
      </c>
      <c r="J336" s="16">
        <f t="shared" si="30"/>
        <v>-46009</v>
      </c>
      <c r="L336" s="3">
        <f t="shared" si="32"/>
        <v>0</v>
      </c>
      <c r="M336" s="20" t="b">
        <f t="shared" si="31"/>
        <v>0</v>
      </c>
      <c r="O336" s="6" t="str">
        <f t="shared" si="33"/>
        <v>Open</v>
      </c>
      <c r="P336" s="3">
        <f t="shared" si="34"/>
        <v>60</v>
      </c>
    </row>
    <row r="337" spans="7:16" ht="15.6" x14ac:dyDescent="0.3">
      <c r="G337" s="5"/>
      <c r="H337" s="17">
        <v>46069</v>
      </c>
      <c r="I337" s="17">
        <f t="shared" si="29"/>
        <v>60</v>
      </c>
      <c r="J337" s="16">
        <f t="shared" si="30"/>
        <v>-46009</v>
      </c>
      <c r="L337" s="3">
        <f t="shared" si="32"/>
        <v>0</v>
      </c>
      <c r="M337" s="20" t="b">
        <f t="shared" si="31"/>
        <v>0</v>
      </c>
      <c r="O337" s="6" t="str">
        <f t="shared" si="33"/>
        <v>Open</v>
      </c>
      <c r="P337" s="3">
        <f t="shared" si="34"/>
        <v>60</v>
      </c>
    </row>
    <row r="338" spans="7:16" ht="15.6" x14ac:dyDescent="0.3">
      <c r="G338" s="5"/>
      <c r="H338" s="17">
        <v>46069</v>
      </c>
      <c r="I338" s="17">
        <f t="shared" ref="I338:I401" si="35">G338+60</f>
        <v>60</v>
      </c>
      <c r="J338" s="16">
        <f t="shared" ref="J338:J401" si="36">I338-H338</f>
        <v>-46009</v>
      </c>
      <c r="L338" s="3">
        <f t="shared" si="32"/>
        <v>0</v>
      </c>
      <c r="M338" s="20" t="b">
        <f t="shared" ref="M338:M401" si="37">J338=P338</f>
        <v>0</v>
      </c>
      <c r="O338" s="6" t="str">
        <f t="shared" si="33"/>
        <v>Open</v>
      </c>
      <c r="P338" s="3">
        <f t="shared" si="34"/>
        <v>60</v>
      </c>
    </row>
    <row r="339" spans="7:16" ht="15.6" x14ac:dyDescent="0.3">
      <c r="G339" s="5"/>
      <c r="H339" s="17">
        <v>46069</v>
      </c>
      <c r="I339" s="17">
        <f t="shared" si="35"/>
        <v>60</v>
      </c>
      <c r="J339" s="16">
        <f t="shared" si="36"/>
        <v>-46009</v>
      </c>
      <c r="L339" s="3">
        <f t="shared" si="32"/>
        <v>0</v>
      </c>
      <c r="M339" s="20" t="b">
        <f t="shared" si="37"/>
        <v>0</v>
      </c>
      <c r="O339" s="6" t="str">
        <f t="shared" si="33"/>
        <v>Open</v>
      </c>
      <c r="P339" s="3">
        <f t="shared" si="34"/>
        <v>60</v>
      </c>
    </row>
    <row r="340" spans="7:16" ht="15.6" x14ac:dyDescent="0.3">
      <c r="G340" s="5"/>
      <c r="H340" s="17">
        <v>46069</v>
      </c>
      <c r="I340" s="17">
        <f t="shared" si="35"/>
        <v>60</v>
      </c>
      <c r="J340" s="16">
        <f t="shared" si="36"/>
        <v>-46009</v>
      </c>
      <c r="L340" s="3">
        <f t="shared" si="32"/>
        <v>0</v>
      </c>
      <c r="M340" s="20" t="b">
        <f t="shared" si="37"/>
        <v>0</v>
      </c>
      <c r="O340" s="6" t="str">
        <f t="shared" si="33"/>
        <v>Open</v>
      </c>
      <c r="P340" s="3">
        <f t="shared" si="34"/>
        <v>60</v>
      </c>
    </row>
    <row r="341" spans="7:16" ht="15.6" x14ac:dyDescent="0.3">
      <c r="G341" s="5"/>
      <c r="H341" s="17">
        <v>46069</v>
      </c>
      <c r="I341" s="17">
        <f t="shared" si="35"/>
        <v>60</v>
      </c>
      <c r="J341" s="16">
        <f t="shared" si="36"/>
        <v>-46009</v>
      </c>
      <c r="L341" s="3">
        <f t="shared" si="32"/>
        <v>0</v>
      </c>
      <c r="M341" s="20" t="b">
        <f t="shared" si="37"/>
        <v>0</v>
      </c>
      <c r="O341" s="6" t="str">
        <f t="shared" si="33"/>
        <v>Open</v>
      </c>
      <c r="P341" s="3">
        <f t="shared" si="34"/>
        <v>60</v>
      </c>
    </row>
    <row r="342" spans="7:16" ht="15.6" x14ac:dyDescent="0.3">
      <c r="G342" s="5"/>
      <c r="H342" s="17">
        <v>46069</v>
      </c>
      <c r="I342" s="17">
        <f t="shared" si="35"/>
        <v>60</v>
      </c>
      <c r="J342" s="16">
        <f t="shared" si="36"/>
        <v>-46009</v>
      </c>
      <c r="L342" s="3">
        <f t="shared" si="32"/>
        <v>0</v>
      </c>
      <c r="M342" s="20" t="b">
        <f t="shared" si="37"/>
        <v>0</v>
      </c>
      <c r="O342" s="6" t="str">
        <f t="shared" si="33"/>
        <v>Open</v>
      </c>
      <c r="P342" s="3">
        <f t="shared" si="34"/>
        <v>60</v>
      </c>
    </row>
    <row r="343" spans="7:16" ht="15.6" x14ac:dyDescent="0.3">
      <c r="G343" s="5"/>
      <c r="H343" s="17">
        <v>46069</v>
      </c>
      <c r="I343" s="17">
        <f t="shared" si="35"/>
        <v>60</v>
      </c>
      <c r="J343" s="16">
        <f t="shared" si="36"/>
        <v>-46009</v>
      </c>
      <c r="L343" s="3">
        <f t="shared" si="32"/>
        <v>0</v>
      </c>
      <c r="M343" s="20" t="b">
        <f t="shared" si="37"/>
        <v>0</v>
      </c>
      <c r="O343" s="6" t="str">
        <f t="shared" si="33"/>
        <v>Open</v>
      </c>
      <c r="P343" s="3">
        <f t="shared" si="34"/>
        <v>60</v>
      </c>
    </row>
    <row r="344" spans="7:16" ht="15.6" x14ac:dyDescent="0.3">
      <c r="G344" s="5"/>
      <c r="H344" s="17">
        <v>46069</v>
      </c>
      <c r="I344" s="17">
        <f t="shared" si="35"/>
        <v>60</v>
      </c>
      <c r="J344" s="16">
        <f t="shared" si="36"/>
        <v>-46009</v>
      </c>
      <c r="L344" s="3">
        <f t="shared" si="32"/>
        <v>0</v>
      </c>
      <c r="M344" s="20" t="b">
        <f t="shared" si="37"/>
        <v>0</v>
      </c>
      <c r="O344" s="6" t="str">
        <f t="shared" si="33"/>
        <v>Open</v>
      </c>
      <c r="P344" s="3">
        <f t="shared" si="34"/>
        <v>60</v>
      </c>
    </row>
    <row r="345" spans="7:16" ht="15.6" x14ac:dyDescent="0.3">
      <c r="G345" s="5"/>
      <c r="H345" s="17">
        <v>46069</v>
      </c>
      <c r="I345" s="17">
        <f t="shared" si="35"/>
        <v>60</v>
      </c>
      <c r="J345" s="16">
        <f t="shared" si="36"/>
        <v>-46009</v>
      </c>
      <c r="L345" s="3">
        <f t="shared" si="32"/>
        <v>0</v>
      </c>
      <c r="M345" s="20" t="b">
        <f t="shared" si="37"/>
        <v>0</v>
      </c>
      <c r="O345" s="6" t="str">
        <f t="shared" si="33"/>
        <v>Open</v>
      </c>
      <c r="P345" s="3">
        <f t="shared" si="34"/>
        <v>60</v>
      </c>
    </row>
    <row r="346" spans="7:16" ht="15.6" x14ac:dyDescent="0.3">
      <c r="G346" s="5"/>
      <c r="H346" s="17">
        <v>46069</v>
      </c>
      <c r="I346" s="17">
        <f t="shared" si="35"/>
        <v>60</v>
      </c>
      <c r="J346" s="16">
        <f t="shared" si="36"/>
        <v>-46009</v>
      </c>
      <c r="L346" s="3">
        <f t="shared" si="32"/>
        <v>0</v>
      </c>
      <c r="M346" s="20" t="b">
        <f t="shared" si="37"/>
        <v>0</v>
      </c>
      <c r="O346" s="6" t="str">
        <f t="shared" si="33"/>
        <v>Open</v>
      </c>
      <c r="P346" s="3">
        <f t="shared" si="34"/>
        <v>60</v>
      </c>
    </row>
    <row r="347" spans="7:16" ht="15.6" x14ac:dyDescent="0.3">
      <c r="G347" s="5"/>
      <c r="H347" s="17">
        <v>46069</v>
      </c>
      <c r="I347" s="17">
        <f t="shared" si="35"/>
        <v>60</v>
      </c>
      <c r="J347" s="16">
        <f t="shared" si="36"/>
        <v>-46009</v>
      </c>
      <c r="L347" s="3">
        <f t="shared" si="32"/>
        <v>0</v>
      </c>
      <c r="M347" s="20" t="b">
        <f t="shared" si="37"/>
        <v>0</v>
      </c>
      <c r="O347" s="6" t="str">
        <f t="shared" si="33"/>
        <v>Open</v>
      </c>
      <c r="P347" s="3">
        <f t="shared" si="34"/>
        <v>60</v>
      </c>
    </row>
    <row r="348" spans="7:16" ht="15.6" x14ac:dyDescent="0.3">
      <c r="G348" s="5"/>
      <c r="H348" s="17">
        <v>46069</v>
      </c>
      <c r="I348" s="17">
        <f t="shared" si="35"/>
        <v>60</v>
      </c>
      <c r="J348" s="16">
        <f t="shared" si="36"/>
        <v>-46009</v>
      </c>
      <c r="L348" s="3">
        <f t="shared" si="32"/>
        <v>0</v>
      </c>
      <c r="M348" s="20" t="b">
        <f t="shared" si="37"/>
        <v>0</v>
      </c>
      <c r="O348" s="6" t="str">
        <f t="shared" si="33"/>
        <v>Open</v>
      </c>
      <c r="P348" s="3">
        <f t="shared" si="34"/>
        <v>60</v>
      </c>
    </row>
    <row r="349" spans="7:16" ht="15.6" x14ac:dyDescent="0.3">
      <c r="G349" s="5"/>
      <c r="H349" s="17">
        <v>46069</v>
      </c>
      <c r="I349" s="17">
        <f t="shared" si="35"/>
        <v>60</v>
      </c>
      <c r="J349" s="16">
        <f t="shared" si="36"/>
        <v>-46009</v>
      </c>
      <c r="L349" s="3">
        <f t="shared" si="32"/>
        <v>0</v>
      </c>
      <c r="M349" s="20" t="b">
        <f t="shared" si="37"/>
        <v>0</v>
      </c>
      <c r="O349" s="6" t="str">
        <f t="shared" si="33"/>
        <v>Open</v>
      </c>
      <c r="P349" s="3">
        <f t="shared" si="34"/>
        <v>60</v>
      </c>
    </row>
    <row r="350" spans="7:16" ht="15.6" x14ac:dyDescent="0.3">
      <c r="G350" s="5"/>
      <c r="H350" s="17">
        <v>46069</v>
      </c>
      <c r="I350" s="17">
        <f t="shared" si="35"/>
        <v>60</v>
      </c>
      <c r="J350" s="16">
        <f t="shared" si="36"/>
        <v>-46009</v>
      </c>
      <c r="L350" s="3">
        <f t="shared" si="32"/>
        <v>0</v>
      </c>
      <c r="M350" s="20" t="b">
        <f t="shared" si="37"/>
        <v>0</v>
      </c>
      <c r="O350" s="6" t="str">
        <f t="shared" si="33"/>
        <v>Open</v>
      </c>
      <c r="P350" s="3">
        <f t="shared" si="34"/>
        <v>60</v>
      </c>
    </row>
    <row r="351" spans="7:16" ht="15.6" x14ac:dyDescent="0.3">
      <c r="G351" s="5"/>
      <c r="H351" s="17">
        <v>46069</v>
      </c>
      <c r="I351" s="17">
        <f t="shared" si="35"/>
        <v>60</v>
      </c>
      <c r="J351" s="16">
        <f t="shared" si="36"/>
        <v>-46009</v>
      </c>
      <c r="L351" s="3">
        <f t="shared" si="32"/>
        <v>0</v>
      </c>
      <c r="M351" s="20" t="b">
        <f t="shared" si="37"/>
        <v>0</v>
      </c>
      <c r="O351" s="6" t="str">
        <f t="shared" si="33"/>
        <v>Open</v>
      </c>
      <c r="P351" s="3">
        <f t="shared" si="34"/>
        <v>60</v>
      </c>
    </row>
    <row r="352" spans="7:16" ht="15.6" x14ac:dyDescent="0.3">
      <c r="G352" s="5"/>
      <c r="H352" s="17">
        <v>46069</v>
      </c>
      <c r="I352" s="17">
        <f t="shared" si="35"/>
        <v>60</v>
      </c>
      <c r="J352" s="16">
        <f t="shared" si="36"/>
        <v>-46009</v>
      </c>
      <c r="L352" s="3">
        <f t="shared" si="32"/>
        <v>0</v>
      </c>
      <c r="M352" s="20" t="b">
        <f t="shared" si="37"/>
        <v>0</v>
      </c>
      <c r="O352" s="6" t="str">
        <f t="shared" si="33"/>
        <v>Open</v>
      </c>
      <c r="P352" s="3">
        <f t="shared" si="34"/>
        <v>60</v>
      </c>
    </row>
    <row r="353" spans="7:16" ht="15.6" x14ac:dyDescent="0.3">
      <c r="G353" s="5"/>
      <c r="H353" s="17">
        <v>46069</v>
      </c>
      <c r="I353" s="17">
        <f t="shared" si="35"/>
        <v>60</v>
      </c>
      <c r="J353" s="16">
        <f t="shared" si="36"/>
        <v>-46009</v>
      </c>
      <c r="L353" s="3">
        <f t="shared" si="32"/>
        <v>0</v>
      </c>
      <c r="M353" s="20" t="b">
        <f t="shared" si="37"/>
        <v>0</v>
      </c>
      <c r="O353" s="6" t="str">
        <f t="shared" si="33"/>
        <v>Open</v>
      </c>
      <c r="P353" s="3">
        <f t="shared" si="34"/>
        <v>60</v>
      </c>
    </row>
    <row r="354" spans="7:16" ht="15.6" x14ac:dyDescent="0.3">
      <c r="G354" s="5"/>
      <c r="H354" s="17">
        <v>46069</v>
      </c>
      <c r="I354" s="17">
        <f t="shared" si="35"/>
        <v>60</v>
      </c>
      <c r="J354" s="16">
        <f t="shared" si="36"/>
        <v>-46009</v>
      </c>
      <c r="L354" s="3">
        <f t="shared" si="32"/>
        <v>0</v>
      </c>
      <c r="M354" s="20" t="b">
        <f t="shared" si="37"/>
        <v>0</v>
      </c>
      <c r="O354" s="6" t="str">
        <f t="shared" si="33"/>
        <v>Open</v>
      </c>
      <c r="P354" s="3">
        <f t="shared" si="34"/>
        <v>60</v>
      </c>
    </row>
    <row r="355" spans="7:16" ht="15.6" x14ac:dyDescent="0.3">
      <c r="G355" s="5"/>
      <c r="H355" s="17">
        <v>46069</v>
      </c>
      <c r="I355" s="17">
        <f t="shared" si="35"/>
        <v>60</v>
      </c>
      <c r="J355" s="16">
        <f t="shared" si="36"/>
        <v>-46009</v>
      </c>
      <c r="L355" s="3">
        <f t="shared" si="32"/>
        <v>0</v>
      </c>
      <c r="M355" s="20" t="b">
        <f t="shared" si="37"/>
        <v>0</v>
      </c>
      <c r="O355" s="6" t="str">
        <f t="shared" si="33"/>
        <v>Open</v>
      </c>
      <c r="P355" s="3">
        <f t="shared" si="34"/>
        <v>60</v>
      </c>
    </row>
    <row r="356" spans="7:16" ht="15.6" x14ac:dyDescent="0.3">
      <c r="G356" s="5"/>
      <c r="H356" s="17">
        <v>46069</v>
      </c>
      <c r="I356" s="17">
        <f t="shared" si="35"/>
        <v>60</v>
      </c>
      <c r="J356" s="16">
        <f t="shared" si="36"/>
        <v>-46009</v>
      </c>
      <c r="L356" s="3">
        <f t="shared" si="32"/>
        <v>0</v>
      </c>
      <c r="M356" s="20" t="b">
        <f t="shared" si="37"/>
        <v>0</v>
      </c>
      <c r="O356" s="6" t="str">
        <f t="shared" si="33"/>
        <v>Open</v>
      </c>
      <c r="P356" s="3">
        <f t="shared" si="34"/>
        <v>60</v>
      </c>
    </row>
    <row r="357" spans="7:16" ht="15.6" x14ac:dyDescent="0.3">
      <c r="G357" s="5"/>
      <c r="H357" s="17">
        <v>46069</v>
      </c>
      <c r="I357" s="17">
        <f t="shared" si="35"/>
        <v>60</v>
      </c>
      <c r="J357" s="16">
        <f t="shared" si="36"/>
        <v>-46009</v>
      </c>
      <c r="L357" s="3">
        <f t="shared" si="32"/>
        <v>0</v>
      </c>
      <c r="M357" s="20" t="b">
        <f t="shared" si="37"/>
        <v>0</v>
      </c>
      <c r="O357" s="6" t="str">
        <f t="shared" si="33"/>
        <v>Open</v>
      </c>
      <c r="P357" s="3">
        <f t="shared" si="34"/>
        <v>60</v>
      </c>
    </row>
    <row r="358" spans="7:16" ht="15.6" x14ac:dyDescent="0.3">
      <c r="G358" s="5"/>
      <c r="H358" s="17">
        <v>46069</v>
      </c>
      <c r="I358" s="17">
        <f t="shared" si="35"/>
        <v>60</v>
      </c>
      <c r="J358" s="16">
        <f t="shared" si="36"/>
        <v>-46009</v>
      </c>
      <c r="L358" s="3">
        <f t="shared" si="32"/>
        <v>0</v>
      </c>
      <c r="M358" s="20" t="b">
        <f t="shared" si="37"/>
        <v>0</v>
      </c>
      <c r="O358" s="6" t="str">
        <f t="shared" si="33"/>
        <v>Open</v>
      </c>
      <c r="P358" s="3">
        <f t="shared" si="34"/>
        <v>60</v>
      </c>
    </row>
    <row r="359" spans="7:16" ht="15.6" x14ac:dyDescent="0.3">
      <c r="G359" s="5"/>
      <c r="H359" s="17">
        <v>46069</v>
      </c>
      <c r="I359" s="17">
        <f t="shared" si="35"/>
        <v>60</v>
      </c>
      <c r="J359" s="16">
        <f t="shared" si="36"/>
        <v>-46009</v>
      </c>
      <c r="L359" s="3">
        <f t="shared" si="32"/>
        <v>0</v>
      </c>
      <c r="M359" s="20" t="b">
        <f t="shared" si="37"/>
        <v>0</v>
      </c>
      <c r="O359" s="6" t="str">
        <f t="shared" si="33"/>
        <v>Open</v>
      </c>
      <c r="P359" s="3">
        <f t="shared" si="34"/>
        <v>60</v>
      </c>
    </row>
    <row r="360" spans="7:16" ht="15.6" x14ac:dyDescent="0.3">
      <c r="G360" s="5"/>
      <c r="H360" s="17">
        <v>46069</v>
      </c>
      <c r="I360" s="17">
        <f t="shared" si="35"/>
        <v>60</v>
      </c>
      <c r="J360" s="16">
        <f t="shared" si="36"/>
        <v>-46009</v>
      </c>
      <c r="L360" s="3">
        <f t="shared" si="32"/>
        <v>0</v>
      </c>
      <c r="M360" s="20" t="b">
        <f t="shared" si="37"/>
        <v>0</v>
      </c>
      <c r="O360" s="6" t="str">
        <f t="shared" si="33"/>
        <v>Open</v>
      </c>
      <c r="P360" s="3">
        <f t="shared" si="34"/>
        <v>60</v>
      </c>
    </row>
    <row r="361" spans="7:16" ht="15.6" x14ac:dyDescent="0.3">
      <c r="G361" s="5"/>
      <c r="H361" s="17">
        <v>46069</v>
      </c>
      <c r="I361" s="17">
        <f t="shared" si="35"/>
        <v>60</v>
      </c>
      <c r="J361" s="16">
        <f t="shared" si="36"/>
        <v>-46009</v>
      </c>
      <c r="L361" s="3">
        <f t="shared" si="32"/>
        <v>0</v>
      </c>
      <c r="M361" s="20" t="b">
        <f t="shared" si="37"/>
        <v>0</v>
      </c>
      <c r="O361" s="6" t="str">
        <f t="shared" si="33"/>
        <v>Open</v>
      </c>
      <c r="P361" s="3">
        <f t="shared" si="34"/>
        <v>60</v>
      </c>
    </row>
    <row r="362" spans="7:16" ht="15.6" x14ac:dyDescent="0.3">
      <c r="G362" s="5"/>
      <c r="H362" s="17">
        <v>46069</v>
      </c>
      <c r="I362" s="17">
        <f t="shared" si="35"/>
        <v>60</v>
      </c>
      <c r="J362" s="16">
        <f t="shared" si="36"/>
        <v>-46009</v>
      </c>
      <c r="L362" s="3">
        <f t="shared" si="32"/>
        <v>0</v>
      </c>
      <c r="M362" s="20" t="b">
        <f t="shared" si="37"/>
        <v>0</v>
      </c>
      <c r="O362" s="6" t="str">
        <f t="shared" si="33"/>
        <v>Open</v>
      </c>
      <c r="P362" s="3">
        <f t="shared" si="34"/>
        <v>60</v>
      </c>
    </row>
    <row r="363" spans="7:16" ht="15.6" x14ac:dyDescent="0.3">
      <c r="G363" s="5"/>
      <c r="H363" s="17">
        <v>46069</v>
      </c>
      <c r="I363" s="17">
        <f t="shared" si="35"/>
        <v>60</v>
      </c>
      <c r="J363" s="16">
        <f t="shared" si="36"/>
        <v>-46009</v>
      </c>
      <c r="L363" s="3">
        <f t="shared" si="32"/>
        <v>0</v>
      </c>
      <c r="M363" s="20" t="b">
        <f t="shared" si="37"/>
        <v>0</v>
      </c>
      <c r="O363" s="6" t="str">
        <f t="shared" si="33"/>
        <v>Open</v>
      </c>
      <c r="P363" s="3">
        <f t="shared" si="34"/>
        <v>60</v>
      </c>
    </row>
    <row r="364" spans="7:16" ht="15.6" x14ac:dyDescent="0.3">
      <c r="G364" s="5"/>
      <c r="H364" s="17">
        <v>46069</v>
      </c>
      <c r="I364" s="17">
        <f t="shared" si="35"/>
        <v>60</v>
      </c>
      <c r="J364" s="16">
        <f t="shared" si="36"/>
        <v>-46009</v>
      </c>
      <c r="L364" s="3">
        <f t="shared" si="32"/>
        <v>0</v>
      </c>
      <c r="M364" s="20" t="b">
        <f t="shared" si="37"/>
        <v>0</v>
      </c>
      <c r="O364" s="6" t="str">
        <f t="shared" si="33"/>
        <v>Open</v>
      </c>
      <c r="P364" s="3">
        <f t="shared" si="34"/>
        <v>60</v>
      </c>
    </row>
    <row r="365" spans="7:16" ht="15.6" x14ac:dyDescent="0.3">
      <c r="G365" s="5"/>
      <c r="H365" s="17">
        <v>46069</v>
      </c>
      <c r="I365" s="17">
        <f t="shared" si="35"/>
        <v>60</v>
      </c>
      <c r="J365" s="16">
        <f t="shared" si="36"/>
        <v>-46009</v>
      </c>
      <c r="L365" s="3">
        <f t="shared" si="32"/>
        <v>0</v>
      </c>
      <c r="M365" s="20" t="b">
        <f t="shared" si="37"/>
        <v>0</v>
      </c>
      <c r="O365" s="6" t="str">
        <f t="shared" si="33"/>
        <v>Open</v>
      </c>
      <c r="P365" s="3">
        <f t="shared" si="34"/>
        <v>60</v>
      </c>
    </row>
    <row r="366" spans="7:16" ht="15.6" x14ac:dyDescent="0.3">
      <c r="G366" s="5"/>
      <c r="H366" s="17">
        <v>46069</v>
      </c>
      <c r="I366" s="17">
        <f t="shared" si="35"/>
        <v>60</v>
      </c>
      <c r="J366" s="16">
        <f t="shared" si="36"/>
        <v>-46009</v>
      </c>
      <c r="L366" s="3">
        <f t="shared" si="32"/>
        <v>0</v>
      </c>
      <c r="M366" s="20" t="b">
        <f t="shared" si="37"/>
        <v>0</v>
      </c>
      <c r="O366" s="6" t="str">
        <f t="shared" si="33"/>
        <v>Open</v>
      </c>
      <c r="P366" s="3">
        <f t="shared" si="34"/>
        <v>60</v>
      </c>
    </row>
    <row r="367" spans="7:16" ht="15.6" x14ac:dyDescent="0.3">
      <c r="G367" s="5"/>
      <c r="H367" s="17">
        <v>46069</v>
      </c>
      <c r="I367" s="17">
        <f t="shared" si="35"/>
        <v>60</v>
      </c>
      <c r="J367" s="16">
        <f t="shared" si="36"/>
        <v>-46009</v>
      </c>
      <c r="L367" s="3">
        <f t="shared" si="32"/>
        <v>0</v>
      </c>
      <c r="M367" s="20" t="b">
        <f t="shared" si="37"/>
        <v>0</v>
      </c>
      <c r="O367" s="6" t="str">
        <f t="shared" si="33"/>
        <v>Open</v>
      </c>
      <c r="P367" s="3">
        <f t="shared" si="34"/>
        <v>60</v>
      </c>
    </row>
    <row r="368" spans="7:16" ht="15.6" x14ac:dyDescent="0.3">
      <c r="G368" s="5"/>
      <c r="H368" s="17">
        <v>46069</v>
      </c>
      <c r="I368" s="17">
        <f t="shared" si="35"/>
        <v>60</v>
      </c>
      <c r="J368" s="16">
        <f t="shared" si="36"/>
        <v>-46009</v>
      </c>
      <c r="L368" s="3">
        <f t="shared" si="32"/>
        <v>0</v>
      </c>
      <c r="M368" s="20" t="b">
        <f t="shared" si="37"/>
        <v>0</v>
      </c>
      <c r="O368" s="6" t="str">
        <f t="shared" si="33"/>
        <v>Open</v>
      </c>
      <c r="P368" s="3">
        <f t="shared" si="34"/>
        <v>60</v>
      </c>
    </row>
    <row r="369" spans="7:16" ht="15.6" x14ac:dyDescent="0.3">
      <c r="G369" s="5"/>
      <c r="H369" s="17">
        <v>46069</v>
      </c>
      <c r="I369" s="17">
        <f t="shared" si="35"/>
        <v>60</v>
      </c>
      <c r="J369" s="16">
        <f t="shared" si="36"/>
        <v>-46009</v>
      </c>
      <c r="L369" s="3">
        <f t="shared" si="32"/>
        <v>0</v>
      </c>
      <c r="M369" s="20" t="b">
        <f t="shared" si="37"/>
        <v>0</v>
      </c>
      <c r="O369" s="6" t="str">
        <f t="shared" si="33"/>
        <v>Open</v>
      </c>
      <c r="P369" s="3">
        <f t="shared" si="34"/>
        <v>60</v>
      </c>
    </row>
    <row r="370" spans="7:16" ht="15.6" x14ac:dyDescent="0.3">
      <c r="G370" s="5"/>
      <c r="H370" s="17">
        <v>46069</v>
      </c>
      <c r="I370" s="17">
        <f t="shared" si="35"/>
        <v>60</v>
      </c>
      <c r="J370" s="16">
        <f t="shared" si="36"/>
        <v>-46009</v>
      </c>
      <c r="L370" s="3">
        <f t="shared" si="32"/>
        <v>0</v>
      </c>
      <c r="M370" s="20" t="b">
        <f t="shared" si="37"/>
        <v>0</v>
      </c>
      <c r="O370" s="6" t="str">
        <f t="shared" si="33"/>
        <v>Open</v>
      </c>
      <c r="P370" s="3">
        <f t="shared" si="34"/>
        <v>60</v>
      </c>
    </row>
    <row r="371" spans="7:16" ht="15.6" x14ac:dyDescent="0.3">
      <c r="G371" s="5"/>
      <c r="H371" s="17">
        <v>46069</v>
      </c>
      <c r="I371" s="17">
        <f t="shared" si="35"/>
        <v>60</v>
      </c>
      <c r="J371" s="16">
        <f t="shared" si="36"/>
        <v>-46009</v>
      </c>
      <c r="L371" s="3">
        <f t="shared" si="32"/>
        <v>0</v>
      </c>
      <c r="M371" s="20" t="b">
        <f t="shared" si="37"/>
        <v>0</v>
      </c>
      <c r="O371" s="6" t="str">
        <f t="shared" si="33"/>
        <v>Open</v>
      </c>
      <c r="P371" s="3">
        <f t="shared" si="34"/>
        <v>60</v>
      </c>
    </row>
    <row r="372" spans="7:16" ht="15.6" x14ac:dyDescent="0.3">
      <c r="G372" s="5"/>
      <c r="H372" s="17">
        <v>46069</v>
      </c>
      <c r="I372" s="17">
        <f t="shared" si="35"/>
        <v>60</v>
      </c>
      <c r="J372" s="16">
        <f t="shared" si="36"/>
        <v>-46009</v>
      </c>
      <c r="L372" s="3">
        <f t="shared" si="32"/>
        <v>0</v>
      </c>
      <c r="M372" s="20" t="b">
        <f t="shared" si="37"/>
        <v>0</v>
      </c>
      <c r="O372" s="6" t="str">
        <f t="shared" si="33"/>
        <v>Open</v>
      </c>
      <c r="P372" s="3">
        <f t="shared" si="34"/>
        <v>60</v>
      </c>
    </row>
    <row r="373" spans="7:16" ht="15.6" x14ac:dyDescent="0.3">
      <c r="G373" s="5"/>
      <c r="H373" s="17">
        <v>46069</v>
      </c>
      <c r="I373" s="17">
        <f t="shared" si="35"/>
        <v>60</v>
      </c>
      <c r="J373" s="16">
        <f t="shared" si="36"/>
        <v>-46009</v>
      </c>
      <c r="L373" s="3">
        <f t="shared" si="32"/>
        <v>0</v>
      </c>
      <c r="M373" s="20" t="b">
        <f t="shared" si="37"/>
        <v>0</v>
      </c>
      <c r="O373" s="6" t="str">
        <f t="shared" si="33"/>
        <v>Open</v>
      </c>
      <c r="P373" s="3">
        <f t="shared" si="34"/>
        <v>60</v>
      </c>
    </row>
    <row r="374" spans="7:16" ht="15.6" x14ac:dyDescent="0.3">
      <c r="G374" s="5"/>
      <c r="H374" s="17">
        <v>46069</v>
      </c>
      <c r="I374" s="17">
        <f t="shared" si="35"/>
        <v>60</v>
      </c>
      <c r="J374" s="16">
        <f t="shared" si="36"/>
        <v>-46009</v>
      </c>
      <c r="L374" s="3">
        <f t="shared" si="32"/>
        <v>0</v>
      </c>
      <c r="M374" s="20" t="b">
        <f t="shared" si="37"/>
        <v>0</v>
      </c>
      <c r="O374" s="6" t="str">
        <f t="shared" si="33"/>
        <v>Open</v>
      </c>
      <c r="P374" s="3">
        <f t="shared" si="34"/>
        <v>60</v>
      </c>
    </row>
    <row r="375" spans="7:16" ht="15.6" x14ac:dyDescent="0.3">
      <c r="G375" s="5"/>
      <c r="H375" s="17">
        <v>46069</v>
      </c>
      <c r="I375" s="17">
        <f t="shared" si="35"/>
        <v>60</v>
      </c>
      <c r="J375" s="16">
        <f t="shared" si="36"/>
        <v>-46009</v>
      </c>
      <c r="L375" s="3">
        <f t="shared" si="32"/>
        <v>0</v>
      </c>
      <c r="M375" s="20" t="b">
        <f t="shared" si="37"/>
        <v>0</v>
      </c>
      <c r="O375" s="6" t="str">
        <f t="shared" si="33"/>
        <v>Open</v>
      </c>
      <c r="P375" s="3">
        <f t="shared" si="34"/>
        <v>60</v>
      </c>
    </row>
    <row r="376" spans="7:16" ht="15.6" x14ac:dyDescent="0.3">
      <c r="G376" s="5"/>
      <c r="H376" s="17">
        <v>46069</v>
      </c>
      <c r="I376" s="17">
        <f t="shared" si="35"/>
        <v>60</v>
      </c>
      <c r="J376" s="16">
        <f t="shared" si="36"/>
        <v>-46009</v>
      </c>
      <c r="L376" s="3">
        <f t="shared" si="32"/>
        <v>0</v>
      </c>
      <c r="M376" s="20" t="b">
        <f t="shared" si="37"/>
        <v>0</v>
      </c>
      <c r="O376" s="6" t="str">
        <f t="shared" si="33"/>
        <v>Open</v>
      </c>
      <c r="P376" s="3">
        <f t="shared" si="34"/>
        <v>60</v>
      </c>
    </row>
    <row r="377" spans="7:16" ht="15.6" x14ac:dyDescent="0.3">
      <c r="G377" s="5"/>
      <c r="H377" s="17">
        <v>46069</v>
      </c>
      <c r="I377" s="17">
        <f t="shared" si="35"/>
        <v>60</v>
      </c>
      <c r="J377" s="16">
        <f t="shared" si="36"/>
        <v>-46009</v>
      </c>
      <c r="L377" s="3">
        <f t="shared" si="32"/>
        <v>0</v>
      </c>
      <c r="M377" s="20" t="b">
        <f t="shared" si="37"/>
        <v>0</v>
      </c>
      <c r="O377" s="6" t="str">
        <f t="shared" si="33"/>
        <v>Open</v>
      </c>
      <c r="P377" s="3">
        <f t="shared" si="34"/>
        <v>60</v>
      </c>
    </row>
    <row r="378" spans="7:16" ht="15.6" x14ac:dyDescent="0.3">
      <c r="G378" s="5"/>
      <c r="H378" s="17">
        <v>46069</v>
      </c>
      <c r="I378" s="17">
        <f t="shared" si="35"/>
        <v>60</v>
      </c>
      <c r="J378" s="16">
        <f t="shared" si="36"/>
        <v>-46009</v>
      </c>
      <c r="L378" s="3">
        <f t="shared" si="32"/>
        <v>0</v>
      </c>
      <c r="M378" s="20" t="b">
        <f t="shared" si="37"/>
        <v>0</v>
      </c>
      <c r="O378" s="6" t="str">
        <f t="shared" si="33"/>
        <v>Open</v>
      </c>
      <c r="P378" s="3">
        <f t="shared" si="34"/>
        <v>60</v>
      </c>
    </row>
    <row r="379" spans="7:16" ht="15.6" x14ac:dyDescent="0.3">
      <c r="G379" s="5"/>
      <c r="H379" s="17">
        <v>46069</v>
      </c>
      <c r="I379" s="17">
        <f t="shared" si="35"/>
        <v>60</v>
      </c>
      <c r="J379" s="16">
        <f t="shared" si="36"/>
        <v>-46009</v>
      </c>
      <c r="L379" s="3">
        <f t="shared" si="32"/>
        <v>0</v>
      </c>
      <c r="M379" s="20" t="b">
        <f t="shared" si="37"/>
        <v>0</v>
      </c>
      <c r="O379" s="6" t="str">
        <f t="shared" si="33"/>
        <v>Open</v>
      </c>
      <c r="P379" s="3">
        <f t="shared" si="34"/>
        <v>60</v>
      </c>
    </row>
    <row r="380" spans="7:16" ht="15.6" x14ac:dyDescent="0.3">
      <c r="G380" s="5"/>
      <c r="H380" s="17">
        <v>46069</v>
      </c>
      <c r="I380" s="17">
        <f t="shared" si="35"/>
        <v>60</v>
      </c>
      <c r="J380" s="16">
        <f t="shared" si="36"/>
        <v>-46009</v>
      </c>
      <c r="L380" s="3">
        <f t="shared" si="32"/>
        <v>0</v>
      </c>
      <c r="M380" s="20" t="b">
        <f t="shared" si="37"/>
        <v>0</v>
      </c>
      <c r="O380" s="6" t="str">
        <f t="shared" si="33"/>
        <v>Open</v>
      </c>
      <c r="P380" s="3">
        <f t="shared" si="34"/>
        <v>60</v>
      </c>
    </row>
    <row r="381" spans="7:16" ht="15.6" x14ac:dyDescent="0.3">
      <c r="G381" s="5"/>
      <c r="H381" s="17">
        <v>46069</v>
      </c>
      <c r="I381" s="17">
        <f t="shared" si="35"/>
        <v>60</v>
      </c>
      <c r="J381" s="16">
        <f t="shared" si="36"/>
        <v>-46009</v>
      </c>
      <c r="L381" s="3">
        <f t="shared" si="32"/>
        <v>0</v>
      </c>
      <c r="M381" s="20" t="b">
        <f t="shared" si="37"/>
        <v>0</v>
      </c>
      <c r="O381" s="6" t="str">
        <f t="shared" si="33"/>
        <v>Open</v>
      </c>
      <c r="P381" s="3">
        <f t="shared" si="34"/>
        <v>60</v>
      </c>
    </row>
    <row r="382" spans="7:16" ht="15.6" x14ac:dyDescent="0.3">
      <c r="G382" s="5"/>
      <c r="H382" s="17">
        <v>46069</v>
      </c>
      <c r="I382" s="17">
        <f t="shared" si="35"/>
        <v>60</v>
      </c>
      <c r="J382" s="16">
        <f t="shared" si="36"/>
        <v>-46009</v>
      </c>
      <c r="L382" s="3">
        <f t="shared" si="32"/>
        <v>0</v>
      </c>
      <c r="M382" s="20" t="b">
        <f t="shared" si="37"/>
        <v>0</v>
      </c>
      <c r="O382" s="6" t="str">
        <f t="shared" si="33"/>
        <v>Open</v>
      </c>
      <c r="P382" s="3">
        <f t="shared" si="34"/>
        <v>60</v>
      </c>
    </row>
    <row r="383" spans="7:16" ht="15.6" x14ac:dyDescent="0.3">
      <c r="G383" s="5"/>
      <c r="H383" s="17">
        <v>46069</v>
      </c>
      <c r="I383" s="17">
        <f t="shared" si="35"/>
        <v>60</v>
      </c>
      <c r="J383" s="16">
        <f t="shared" si="36"/>
        <v>-46009</v>
      </c>
      <c r="L383" s="3">
        <f t="shared" si="32"/>
        <v>0</v>
      </c>
      <c r="M383" s="20" t="b">
        <f t="shared" si="37"/>
        <v>0</v>
      </c>
      <c r="O383" s="6" t="str">
        <f t="shared" si="33"/>
        <v>Open</v>
      </c>
      <c r="P383" s="3">
        <f t="shared" si="34"/>
        <v>60</v>
      </c>
    </row>
    <row r="384" spans="7:16" ht="15.6" x14ac:dyDescent="0.3">
      <c r="G384" s="5"/>
      <c r="H384" s="17">
        <v>46069</v>
      </c>
      <c r="I384" s="17">
        <f t="shared" si="35"/>
        <v>60</v>
      </c>
      <c r="J384" s="16">
        <f t="shared" si="36"/>
        <v>-46009</v>
      </c>
      <c r="L384" s="3">
        <f t="shared" si="32"/>
        <v>0</v>
      </c>
      <c r="M384" s="20" t="b">
        <f t="shared" si="37"/>
        <v>0</v>
      </c>
      <c r="O384" s="6" t="str">
        <f t="shared" si="33"/>
        <v>Open</v>
      </c>
      <c r="P384" s="3">
        <f t="shared" si="34"/>
        <v>60</v>
      </c>
    </row>
    <row r="385" spans="7:16" ht="15.6" x14ac:dyDescent="0.3">
      <c r="G385" s="5"/>
      <c r="H385" s="17">
        <v>46069</v>
      </c>
      <c r="I385" s="17">
        <f t="shared" si="35"/>
        <v>60</v>
      </c>
      <c r="J385" s="16">
        <f t="shared" si="36"/>
        <v>-46009</v>
      </c>
      <c r="L385" s="3">
        <f t="shared" si="32"/>
        <v>0</v>
      </c>
      <c r="M385" s="20" t="b">
        <f t="shared" si="37"/>
        <v>0</v>
      </c>
      <c r="O385" s="6" t="str">
        <f t="shared" si="33"/>
        <v>Open</v>
      </c>
      <c r="P385" s="3">
        <f t="shared" si="34"/>
        <v>60</v>
      </c>
    </row>
    <row r="386" spans="7:16" ht="15.6" x14ac:dyDescent="0.3">
      <c r="G386" s="5"/>
      <c r="H386" s="17">
        <v>46069</v>
      </c>
      <c r="I386" s="17">
        <f t="shared" si="35"/>
        <v>60</v>
      </c>
      <c r="J386" s="16">
        <f t="shared" si="36"/>
        <v>-46009</v>
      </c>
      <c r="L386" s="3">
        <f t="shared" ref="L386:L449" si="38">K386-SUM(Q386:BX386)</f>
        <v>0</v>
      </c>
      <c r="M386" s="20" t="b">
        <f t="shared" si="37"/>
        <v>0</v>
      </c>
      <c r="O386" s="6" t="str">
        <f t="shared" ref="O386:O449" si="39">IF(COUNTA(P386:BW386)=COLUMNS(P386:BW386),"Closed","Open")</f>
        <v>Open</v>
      </c>
      <c r="P386" s="3">
        <f t="shared" ref="P386:P449" si="40">60-COUNT(Q386:BX386)</f>
        <v>60</v>
      </c>
    </row>
    <row r="387" spans="7:16" ht="15.6" x14ac:dyDescent="0.3">
      <c r="G387" s="5"/>
      <c r="H387" s="17">
        <v>46069</v>
      </c>
      <c r="I387" s="17">
        <f t="shared" si="35"/>
        <v>60</v>
      </c>
      <c r="J387" s="16">
        <f t="shared" si="36"/>
        <v>-46009</v>
      </c>
      <c r="L387" s="3">
        <f t="shared" si="38"/>
        <v>0</v>
      </c>
      <c r="M387" s="20" t="b">
        <f t="shared" si="37"/>
        <v>0</v>
      </c>
      <c r="O387" s="6" t="str">
        <f t="shared" si="39"/>
        <v>Open</v>
      </c>
      <c r="P387" s="3">
        <f t="shared" si="40"/>
        <v>60</v>
      </c>
    </row>
    <row r="388" spans="7:16" ht="15.6" x14ac:dyDescent="0.3">
      <c r="G388" s="5"/>
      <c r="H388" s="17">
        <v>46069</v>
      </c>
      <c r="I388" s="17">
        <f t="shared" si="35"/>
        <v>60</v>
      </c>
      <c r="J388" s="16">
        <f t="shared" si="36"/>
        <v>-46009</v>
      </c>
      <c r="L388" s="3">
        <f t="shared" si="38"/>
        <v>0</v>
      </c>
      <c r="M388" s="20" t="b">
        <f t="shared" si="37"/>
        <v>0</v>
      </c>
      <c r="O388" s="6" t="str">
        <f t="shared" si="39"/>
        <v>Open</v>
      </c>
      <c r="P388" s="3">
        <f t="shared" si="40"/>
        <v>60</v>
      </c>
    </row>
    <row r="389" spans="7:16" ht="15.6" x14ac:dyDescent="0.3">
      <c r="G389" s="5"/>
      <c r="H389" s="17">
        <v>46069</v>
      </c>
      <c r="I389" s="17">
        <f t="shared" si="35"/>
        <v>60</v>
      </c>
      <c r="J389" s="16">
        <f t="shared" si="36"/>
        <v>-46009</v>
      </c>
      <c r="L389" s="3">
        <f t="shared" si="38"/>
        <v>0</v>
      </c>
      <c r="M389" s="20" t="b">
        <f t="shared" si="37"/>
        <v>0</v>
      </c>
      <c r="O389" s="6" t="str">
        <f t="shared" si="39"/>
        <v>Open</v>
      </c>
      <c r="P389" s="3">
        <f t="shared" si="40"/>
        <v>60</v>
      </c>
    </row>
    <row r="390" spans="7:16" ht="15.6" x14ac:dyDescent="0.3">
      <c r="G390" s="5"/>
      <c r="H390" s="17">
        <v>46069</v>
      </c>
      <c r="I390" s="17">
        <f t="shared" si="35"/>
        <v>60</v>
      </c>
      <c r="J390" s="16">
        <f t="shared" si="36"/>
        <v>-46009</v>
      </c>
      <c r="L390" s="3">
        <f t="shared" si="38"/>
        <v>0</v>
      </c>
      <c r="M390" s="20" t="b">
        <f t="shared" si="37"/>
        <v>0</v>
      </c>
      <c r="O390" s="6" t="str">
        <f t="shared" si="39"/>
        <v>Open</v>
      </c>
      <c r="P390" s="3">
        <f t="shared" si="40"/>
        <v>60</v>
      </c>
    </row>
    <row r="391" spans="7:16" ht="15.6" x14ac:dyDescent="0.3">
      <c r="G391" s="5"/>
      <c r="H391" s="17">
        <v>46069</v>
      </c>
      <c r="I391" s="17">
        <f t="shared" si="35"/>
        <v>60</v>
      </c>
      <c r="J391" s="16">
        <f t="shared" si="36"/>
        <v>-46009</v>
      </c>
      <c r="L391" s="3">
        <f t="shared" si="38"/>
        <v>0</v>
      </c>
      <c r="M391" s="20" t="b">
        <f t="shared" si="37"/>
        <v>0</v>
      </c>
      <c r="O391" s="6" t="str">
        <f t="shared" si="39"/>
        <v>Open</v>
      </c>
      <c r="P391" s="3">
        <f t="shared" si="40"/>
        <v>60</v>
      </c>
    </row>
    <row r="392" spans="7:16" ht="15.6" x14ac:dyDescent="0.3">
      <c r="G392" s="5"/>
      <c r="H392" s="17">
        <v>46069</v>
      </c>
      <c r="I392" s="17">
        <f t="shared" si="35"/>
        <v>60</v>
      </c>
      <c r="J392" s="16">
        <f t="shared" si="36"/>
        <v>-46009</v>
      </c>
      <c r="L392" s="3">
        <f t="shared" si="38"/>
        <v>0</v>
      </c>
      <c r="M392" s="20" t="b">
        <f t="shared" si="37"/>
        <v>0</v>
      </c>
      <c r="O392" s="6" t="str">
        <f t="shared" si="39"/>
        <v>Open</v>
      </c>
      <c r="P392" s="3">
        <f t="shared" si="40"/>
        <v>60</v>
      </c>
    </row>
    <row r="393" spans="7:16" ht="15.6" x14ac:dyDescent="0.3">
      <c r="G393" s="5"/>
      <c r="H393" s="17">
        <v>46069</v>
      </c>
      <c r="I393" s="17">
        <f t="shared" si="35"/>
        <v>60</v>
      </c>
      <c r="J393" s="16">
        <f t="shared" si="36"/>
        <v>-46009</v>
      </c>
      <c r="L393" s="3">
        <f t="shared" si="38"/>
        <v>0</v>
      </c>
      <c r="M393" s="20" t="b">
        <f t="shared" si="37"/>
        <v>0</v>
      </c>
      <c r="O393" s="6" t="str">
        <f t="shared" si="39"/>
        <v>Open</v>
      </c>
      <c r="P393" s="3">
        <f t="shared" si="40"/>
        <v>60</v>
      </c>
    </row>
    <row r="394" spans="7:16" ht="15.6" x14ac:dyDescent="0.3">
      <c r="G394" s="5"/>
      <c r="H394" s="17">
        <v>46069</v>
      </c>
      <c r="I394" s="17">
        <f t="shared" si="35"/>
        <v>60</v>
      </c>
      <c r="J394" s="16">
        <f t="shared" si="36"/>
        <v>-46009</v>
      </c>
      <c r="L394" s="3">
        <f t="shared" si="38"/>
        <v>0</v>
      </c>
      <c r="M394" s="20" t="b">
        <f t="shared" si="37"/>
        <v>0</v>
      </c>
      <c r="O394" s="6" t="str">
        <f t="shared" si="39"/>
        <v>Open</v>
      </c>
      <c r="P394" s="3">
        <f t="shared" si="40"/>
        <v>60</v>
      </c>
    </row>
    <row r="395" spans="7:16" ht="15.6" x14ac:dyDescent="0.3">
      <c r="G395" s="5"/>
      <c r="H395" s="17">
        <v>46069</v>
      </c>
      <c r="I395" s="17">
        <f t="shared" si="35"/>
        <v>60</v>
      </c>
      <c r="J395" s="16">
        <f t="shared" si="36"/>
        <v>-46009</v>
      </c>
      <c r="L395" s="3">
        <f t="shared" si="38"/>
        <v>0</v>
      </c>
      <c r="M395" s="20" t="b">
        <f t="shared" si="37"/>
        <v>0</v>
      </c>
      <c r="O395" s="6" t="str">
        <f t="shared" si="39"/>
        <v>Open</v>
      </c>
      <c r="P395" s="3">
        <f t="shared" si="40"/>
        <v>60</v>
      </c>
    </row>
    <row r="396" spans="7:16" ht="15.6" x14ac:dyDescent="0.3">
      <c r="G396" s="5"/>
      <c r="H396" s="17">
        <v>46069</v>
      </c>
      <c r="I396" s="17">
        <f t="shared" si="35"/>
        <v>60</v>
      </c>
      <c r="J396" s="16">
        <f t="shared" si="36"/>
        <v>-46009</v>
      </c>
      <c r="L396" s="3">
        <f t="shared" si="38"/>
        <v>0</v>
      </c>
      <c r="M396" s="20" t="b">
        <f t="shared" si="37"/>
        <v>0</v>
      </c>
      <c r="O396" s="6" t="str">
        <f t="shared" si="39"/>
        <v>Open</v>
      </c>
      <c r="P396" s="3">
        <f t="shared" si="40"/>
        <v>60</v>
      </c>
    </row>
    <row r="397" spans="7:16" ht="15.6" x14ac:dyDescent="0.3">
      <c r="G397" s="5"/>
      <c r="H397" s="17">
        <v>46069</v>
      </c>
      <c r="I397" s="17">
        <f t="shared" si="35"/>
        <v>60</v>
      </c>
      <c r="J397" s="16">
        <f t="shared" si="36"/>
        <v>-46009</v>
      </c>
      <c r="L397" s="3">
        <f t="shared" si="38"/>
        <v>0</v>
      </c>
      <c r="M397" s="20" t="b">
        <f t="shared" si="37"/>
        <v>0</v>
      </c>
      <c r="O397" s="6" t="str">
        <f t="shared" si="39"/>
        <v>Open</v>
      </c>
      <c r="P397" s="3">
        <f t="shared" si="40"/>
        <v>60</v>
      </c>
    </row>
    <row r="398" spans="7:16" ht="15.6" x14ac:dyDescent="0.3">
      <c r="G398" s="5"/>
      <c r="H398" s="17">
        <v>46069</v>
      </c>
      <c r="I398" s="17">
        <f t="shared" si="35"/>
        <v>60</v>
      </c>
      <c r="J398" s="16">
        <f t="shared" si="36"/>
        <v>-46009</v>
      </c>
      <c r="L398" s="3">
        <f t="shared" si="38"/>
        <v>0</v>
      </c>
      <c r="M398" s="20" t="b">
        <f t="shared" si="37"/>
        <v>0</v>
      </c>
      <c r="O398" s="6" t="str">
        <f t="shared" si="39"/>
        <v>Open</v>
      </c>
      <c r="P398" s="3">
        <f t="shared" si="40"/>
        <v>60</v>
      </c>
    </row>
    <row r="399" spans="7:16" ht="15.6" x14ac:dyDescent="0.3">
      <c r="G399" s="5"/>
      <c r="H399" s="17">
        <v>46069</v>
      </c>
      <c r="I399" s="17">
        <f t="shared" si="35"/>
        <v>60</v>
      </c>
      <c r="J399" s="16">
        <f t="shared" si="36"/>
        <v>-46009</v>
      </c>
      <c r="L399" s="3">
        <f t="shared" si="38"/>
        <v>0</v>
      </c>
      <c r="M399" s="20" t="b">
        <f t="shared" si="37"/>
        <v>0</v>
      </c>
      <c r="O399" s="6" t="str">
        <f t="shared" si="39"/>
        <v>Open</v>
      </c>
      <c r="P399" s="3">
        <f t="shared" si="40"/>
        <v>60</v>
      </c>
    </row>
    <row r="400" spans="7:16" ht="15.6" x14ac:dyDescent="0.3">
      <c r="G400" s="5"/>
      <c r="H400" s="17">
        <v>46069</v>
      </c>
      <c r="I400" s="17">
        <f t="shared" si="35"/>
        <v>60</v>
      </c>
      <c r="J400" s="16">
        <f t="shared" si="36"/>
        <v>-46009</v>
      </c>
      <c r="L400" s="3">
        <f t="shared" si="38"/>
        <v>0</v>
      </c>
      <c r="M400" s="20" t="b">
        <f t="shared" si="37"/>
        <v>0</v>
      </c>
      <c r="O400" s="6" t="str">
        <f t="shared" si="39"/>
        <v>Open</v>
      </c>
      <c r="P400" s="3">
        <f t="shared" si="40"/>
        <v>60</v>
      </c>
    </row>
    <row r="401" spans="7:16" ht="15.6" x14ac:dyDescent="0.3">
      <c r="G401" s="5"/>
      <c r="H401" s="17">
        <v>46069</v>
      </c>
      <c r="I401" s="17">
        <f t="shared" si="35"/>
        <v>60</v>
      </c>
      <c r="J401" s="16">
        <f t="shared" si="36"/>
        <v>-46009</v>
      </c>
      <c r="L401" s="3">
        <f t="shared" si="38"/>
        <v>0</v>
      </c>
      <c r="M401" s="20" t="b">
        <f t="shared" si="37"/>
        <v>0</v>
      </c>
      <c r="O401" s="6" t="str">
        <f t="shared" si="39"/>
        <v>Open</v>
      </c>
      <c r="P401" s="3">
        <f t="shared" si="40"/>
        <v>60</v>
      </c>
    </row>
    <row r="402" spans="7:16" ht="15.6" x14ac:dyDescent="0.3">
      <c r="G402" s="5"/>
      <c r="H402" s="17">
        <v>46069</v>
      </c>
      <c r="I402" s="17">
        <f t="shared" ref="I402:I465" si="41">G402+60</f>
        <v>60</v>
      </c>
      <c r="J402" s="16">
        <f t="shared" ref="J402:J465" si="42">I402-H402</f>
        <v>-46009</v>
      </c>
      <c r="L402" s="3">
        <f t="shared" si="38"/>
        <v>0</v>
      </c>
      <c r="M402" s="20" t="b">
        <f t="shared" ref="M402:M465" si="43">J402=P402</f>
        <v>0</v>
      </c>
      <c r="O402" s="6" t="str">
        <f t="shared" si="39"/>
        <v>Open</v>
      </c>
      <c r="P402" s="3">
        <f t="shared" si="40"/>
        <v>60</v>
      </c>
    </row>
    <row r="403" spans="7:16" ht="15.6" x14ac:dyDescent="0.3">
      <c r="G403" s="5"/>
      <c r="H403" s="17">
        <v>46069</v>
      </c>
      <c r="I403" s="17">
        <f t="shared" si="41"/>
        <v>60</v>
      </c>
      <c r="J403" s="16">
        <f t="shared" si="42"/>
        <v>-46009</v>
      </c>
      <c r="L403" s="3">
        <f t="shared" si="38"/>
        <v>0</v>
      </c>
      <c r="M403" s="20" t="b">
        <f t="shared" si="43"/>
        <v>0</v>
      </c>
      <c r="O403" s="6" t="str">
        <f t="shared" si="39"/>
        <v>Open</v>
      </c>
      <c r="P403" s="3">
        <f t="shared" si="40"/>
        <v>60</v>
      </c>
    </row>
    <row r="404" spans="7:16" ht="15.6" x14ac:dyDescent="0.3">
      <c r="G404" s="5"/>
      <c r="H404" s="17">
        <v>46069</v>
      </c>
      <c r="I404" s="17">
        <f t="shared" si="41"/>
        <v>60</v>
      </c>
      <c r="J404" s="16">
        <f t="shared" si="42"/>
        <v>-46009</v>
      </c>
      <c r="L404" s="3">
        <f t="shared" si="38"/>
        <v>0</v>
      </c>
      <c r="M404" s="20" t="b">
        <f t="shared" si="43"/>
        <v>0</v>
      </c>
      <c r="O404" s="6" t="str">
        <f t="shared" si="39"/>
        <v>Open</v>
      </c>
      <c r="P404" s="3">
        <f t="shared" si="40"/>
        <v>60</v>
      </c>
    </row>
    <row r="405" spans="7:16" ht="15.6" x14ac:dyDescent="0.3">
      <c r="G405" s="5"/>
      <c r="H405" s="17">
        <v>46069</v>
      </c>
      <c r="I405" s="17">
        <f t="shared" si="41"/>
        <v>60</v>
      </c>
      <c r="J405" s="16">
        <f t="shared" si="42"/>
        <v>-46009</v>
      </c>
      <c r="L405" s="3">
        <f t="shared" si="38"/>
        <v>0</v>
      </c>
      <c r="M405" s="20" t="b">
        <f t="shared" si="43"/>
        <v>0</v>
      </c>
      <c r="O405" s="6" t="str">
        <f t="shared" si="39"/>
        <v>Open</v>
      </c>
      <c r="P405" s="3">
        <f t="shared" si="40"/>
        <v>60</v>
      </c>
    </row>
    <row r="406" spans="7:16" ht="15.6" x14ac:dyDescent="0.3">
      <c r="G406" s="5"/>
      <c r="H406" s="17">
        <v>46069</v>
      </c>
      <c r="I406" s="17">
        <f t="shared" si="41"/>
        <v>60</v>
      </c>
      <c r="J406" s="16">
        <f t="shared" si="42"/>
        <v>-46009</v>
      </c>
      <c r="L406" s="3">
        <f t="shared" si="38"/>
        <v>0</v>
      </c>
      <c r="M406" s="20" t="b">
        <f t="shared" si="43"/>
        <v>0</v>
      </c>
      <c r="O406" s="6" t="str">
        <f t="shared" si="39"/>
        <v>Open</v>
      </c>
      <c r="P406" s="3">
        <f t="shared" si="40"/>
        <v>60</v>
      </c>
    </row>
    <row r="407" spans="7:16" ht="15.6" x14ac:dyDescent="0.3">
      <c r="G407" s="5"/>
      <c r="H407" s="17">
        <v>46069</v>
      </c>
      <c r="I407" s="17">
        <f t="shared" si="41"/>
        <v>60</v>
      </c>
      <c r="J407" s="16">
        <f t="shared" si="42"/>
        <v>-46009</v>
      </c>
      <c r="L407" s="3">
        <f t="shared" si="38"/>
        <v>0</v>
      </c>
      <c r="M407" s="20" t="b">
        <f t="shared" si="43"/>
        <v>0</v>
      </c>
      <c r="O407" s="6" t="str">
        <f t="shared" si="39"/>
        <v>Open</v>
      </c>
      <c r="P407" s="3">
        <f t="shared" si="40"/>
        <v>60</v>
      </c>
    </row>
    <row r="408" spans="7:16" ht="15.6" x14ac:dyDescent="0.3">
      <c r="G408" s="5"/>
      <c r="H408" s="17">
        <v>46069</v>
      </c>
      <c r="I408" s="17">
        <f t="shared" si="41"/>
        <v>60</v>
      </c>
      <c r="J408" s="16">
        <f t="shared" si="42"/>
        <v>-46009</v>
      </c>
      <c r="L408" s="3">
        <f t="shared" si="38"/>
        <v>0</v>
      </c>
      <c r="M408" s="20" t="b">
        <f t="shared" si="43"/>
        <v>0</v>
      </c>
      <c r="O408" s="6" t="str">
        <f t="shared" si="39"/>
        <v>Open</v>
      </c>
      <c r="P408" s="3">
        <f t="shared" si="40"/>
        <v>60</v>
      </c>
    </row>
    <row r="409" spans="7:16" ht="15.6" x14ac:dyDescent="0.3">
      <c r="G409" s="5"/>
      <c r="H409" s="17">
        <v>46069</v>
      </c>
      <c r="I409" s="17">
        <f t="shared" si="41"/>
        <v>60</v>
      </c>
      <c r="J409" s="16">
        <f t="shared" si="42"/>
        <v>-46009</v>
      </c>
      <c r="L409" s="3">
        <f t="shared" si="38"/>
        <v>0</v>
      </c>
      <c r="M409" s="20" t="b">
        <f t="shared" si="43"/>
        <v>0</v>
      </c>
      <c r="O409" s="6" t="str">
        <f t="shared" si="39"/>
        <v>Open</v>
      </c>
      <c r="P409" s="3">
        <f t="shared" si="40"/>
        <v>60</v>
      </c>
    </row>
    <row r="410" spans="7:16" ht="15.6" x14ac:dyDescent="0.3">
      <c r="G410" s="5"/>
      <c r="H410" s="17">
        <v>46069</v>
      </c>
      <c r="I410" s="17">
        <f t="shared" si="41"/>
        <v>60</v>
      </c>
      <c r="J410" s="16">
        <f t="shared" si="42"/>
        <v>-46009</v>
      </c>
      <c r="L410" s="3">
        <f t="shared" si="38"/>
        <v>0</v>
      </c>
      <c r="M410" s="20" t="b">
        <f t="shared" si="43"/>
        <v>0</v>
      </c>
      <c r="O410" s="6" t="str">
        <f t="shared" si="39"/>
        <v>Open</v>
      </c>
      <c r="P410" s="3">
        <f t="shared" si="40"/>
        <v>60</v>
      </c>
    </row>
    <row r="411" spans="7:16" ht="15.6" x14ac:dyDescent="0.3">
      <c r="G411" s="5"/>
      <c r="H411" s="17">
        <v>46069</v>
      </c>
      <c r="I411" s="17">
        <f t="shared" si="41"/>
        <v>60</v>
      </c>
      <c r="J411" s="16">
        <f t="shared" si="42"/>
        <v>-46009</v>
      </c>
      <c r="L411" s="3">
        <f t="shared" si="38"/>
        <v>0</v>
      </c>
      <c r="M411" s="20" t="b">
        <f t="shared" si="43"/>
        <v>0</v>
      </c>
      <c r="O411" s="6" t="str">
        <f t="shared" si="39"/>
        <v>Open</v>
      </c>
      <c r="P411" s="3">
        <f t="shared" si="40"/>
        <v>60</v>
      </c>
    </row>
    <row r="412" spans="7:16" ht="15.6" x14ac:dyDescent="0.3">
      <c r="G412" s="5"/>
      <c r="H412" s="17">
        <v>46069</v>
      </c>
      <c r="I412" s="17">
        <f t="shared" si="41"/>
        <v>60</v>
      </c>
      <c r="J412" s="16">
        <f t="shared" si="42"/>
        <v>-46009</v>
      </c>
      <c r="L412" s="3">
        <f t="shared" si="38"/>
        <v>0</v>
      </c>
      <c r="M412" s="20" t="b">
        <f t="shared" si="43"/>
        <v>0</v>
      </c>
      <c r="O412" s="6" t="str">
        <f t="shared" si="39"/>
        <v>Open</v>
      </c>
      <c r="P412" s="3">
        <f t="shared" si="40"/>
        <v>60</v>
      </c>
    </row>
    <row r="413" spans="7:16" ht="15.6" x14ac:dyDescent="0.3">
      <c r="G413" s="5"/>
      <c r="H413" s="17">
        <v>46069</v>
      </c>
      <c r="I413" s="17">
        <f t="shared" si="41"/>
        <v>60</v>
      </c>
      <c r="J413" s="16">
        <f t="shared" si="42"/>
        <v>-46009</v>
      </c>
      <c r="L413" s="3">
        <f t="shared" si="38"/>
        <v>0</v>
      </c>
      <c r="M413" s="20" t="b">
        <f t="shared" si="43"/>
        <v>0</v>
      </c>
      <c r="O413" s="6" t="str">
        <f t="shared" si="39"/>
        <v>Open</v>
      </c>
      <c r="P413" s="3">
        <f t="shared" si="40"/>
        <v>60</v>
      </c>
    </row>
    <row r="414" spans="7:16" ht="15.6" x14ac:dyDescent="0.3">
      <c r="G414" s="5"/>
      <c r="H414" s="17">
        <v>46069</v>
      </c>
      <c r="I414" s="17">
        <f t="shared" si="41"/>
        <v>60</v>
      </c>
      <c r="J414" s="16">
        <f t="shared" si="42"/>
        <v>-46009</v>
      </c>
      <c r="L414" s="3">
        <f t="shared" si="38"/>
        <v>0</v>
      </c>
      <c r="M414" s="20" t="b">
        <f t="shared" si="43"/>
        <v>0</v>
      </c>
      <c r="O414" s="6" t="str">
        <f t="shared" si="39"/>
        <v>Open</v>
      </c>
      <c r="P414" s="3">
        <f t="shared" si="40"/>
        <v>60</v>
      </c>
    </row>
    <row r="415" spans="7:16" ht="15.6" x14ac:dyDescent="0.3">
      <c r="G415" s="5"/>
      <c r="H415" s="17">
        <v>46069</v>
      </c>
      <c r="I415" s="17">
        <f t="shared" si="41"/>
        <v>60</v>
      </c>
      <c r="J415" s="16">
        <f t="shared" si="42"/>
        <v>-46009</v>
      </c>
      <c r="L415" s="3">
        <f t="shared" si="38"/>
        <v>0</v>
      </c>
      <c r="M415" s="20" t="b">
        <f t="shared" si="43"/>
        <v>0</v>
      </c>
      <c r="O415" s="6" t="str">
        <f t="shared" si="39"/>
        <v>Open</v>
      </c>
      <c r="P415" s="3">
        <f t="shared" si="40"/>
        <v>60</v>
      </c>
    </row>
    <row r="416" spans="7:16" ht="15.6" x14ac:dyDescent="0.3">
      <c r="G416" s="5"/>
      <c r="H416" s="17">
        <v>46069</v>
      </c>
      <c r="I416" s="17">
        <f t="shared" si="41"/>
        <v>60</v>
      </c>
      <c r="J416" s="16">
        <f t="shared" si="42"/>
        <v>-46009</v>
      </c>
      <c r="L416" s="3">
        <f t="shared" si="38"/>
        <v>0</v>
      </c>
      <c r="M416" s="20" t="b">
        <f t="shared" si="43"/>
        <v>0</v>
      </c>
      <c r="O416" s="6" t="str">
        <f t="shared" si="39"/>
        <v>Open</v>
      </c>
      <c r="P416" s="3">
        <f t="shared" si="40"/>
        <v>60</v>
      </c>
    </row>
    <row r="417" spans="7:16" ht="15.6" x14ac:dyDescent="0.3">
      <c r="G417" s="5"/>
      <c r="H417" s="17">
        <v>46069</v>
      </c>
      <c r="I417" s="17">
        <f t="shared" si="41"/>
        <v>60</v>
      </c>
      <c r="J417" s="16">
        <f t="shared" si="42"/>
        <v>-46009</v>
      </c>
      <c r="L417" s="3">
        <f t="shared" si="38"/>
        <v>0</v>
      </c>
      <c r="M417" s="20" t="b">
        <f t="shared" si="43"/>
        <v>0</v>
      </c>
      <c r="O417" s="6" t="str">
        <f t="shared" si="39"/>
        <v>Open</v>
      </c>
      <c r="P417" s="3">
        <f t="shared" si="40"/>
        <v>60</v>
      </c>
    </row>
    <row r="418" spans="7:16" ht="15.6" x14ac:dyDescent="0.3">
      <c r="G418" s="5"/>
      <c r="H418" s="17">
        <v>46069</v>
      </c>
      <c r="I418" s="17">
        <f t="shared" si="41"/>
        <v>60</v>
      </c>
      <c r="J418" s="16">
        <f t="shared" si="42"/>
        <v>-46009</v>
      </c>
      <c r="L418" s="3">
        <f t="shared" si="38"/>
        <v>0</v>
      </c>
      <c r="M418" s="20" t="b">
        <f t="shared" si="43"/>
        <v>0</v>
      </c>
      <c r="O418" s="6" t="str">
        <f t="shared" si="39"/>
        <v>Open</v>
      </c>
      <c r="P418" s="3">
        <f t="shared" si="40"/>
        <v>60</v>
      </c>
    </row>
    <row r="419" spans="7:16" ht="15.6" x14ac:dyDescent="0.3">
      <c r="G419" s="5"/>
      <c r="H419" s="17">
        <v>46069</v>
      </c>
      <c r="I419" s="17">
        <f t="shared" si="41"/>
        <v>60</v>
      </c>
      <c r="J419" s="16">
        <f t="shared" si="42"/>
        <v>-46009</v>
      </c>
      <c r="L419" s="3">
        <f t="shared" si="38"/>
        <v>0</v>
      </c>
      <c r="M419" s="20" t="b">
        <f t="shared" si="43"/>
        <v>0</v>
      </c>
      <c r="O419" s="6" t="str">
        <f t="shared" si="39"/>
        <v>Open</v>
      </c>
      <c r="P419" s="3">
        <f t="shared" si="40"/>
        <v>60</v>
      </c>
    </row>
    <row r="420" spans="7:16" ht="15.6" x14ac:dyDescent="0.3">
      <c r="G420" s="5"/>
      <c r="H420" s="17">
        <v>46069</v>
      </c>
      <c r="I420" s="17">
        <f t="shared" si="41"/>
        <v>60</v>
      </c>
      <c r="J420" s="16">
        <f t="shared" si="42"/>
        <v>-46009</v>
      </c>
      <c r="L420" s="3">
        <f t="shared" si="38"/>
        <v>0</v>
      </c>
      <c r="M420" s="20" t="b">
        <f t="shared" si="43"/>
        <v>0</v>
      </c>
      <c r="O420" s="6" t="str">
        <f t="shared" si="39"/>
        <v>Open</v>
      </c>
      <c r="P420" s="3">
        <f t="shared" si="40"/>
        <v>60</v>
      </c>
    </row>
    <row r="421" spans="7:16" ht="15.6" x14ac:dyDescent="0.3">
      <c r="G421" s="5"/>
      <c r="H421" s="17">
        <v>46069</v>
      </c>
      <c r="I421" s="17">
        <f t="shared" si="41"/>
        <v>60</v>
      </c>
      <c r="J421" s="16">
        <f t="shared" si="42"/>
        <v>-46009</v>
      </c>
      <c r="L421" s="3">
        <f t="shared" si="38"/>
        <v>0</v>
      </c>
      <c r="M421" s="20" t="b">
        <f t="shared" si="43"/>
        <v>0</v>
      </c>
      <c r="O421" s="6" t="str">
        <f t="shared" si="39"/>
        <v>Open</v>
      </c>
      <c r="P421" s="3">
        <f t="shared" si="40"/>
        <v>60</v>
      </c>
    </row>
    <row r="422" spans="7:16" ht="15.6" x14ac:dyDescent="0.3">
      <c r="G422" s="5"/>
      <c r="H422" s="17">
        <v>46069</v>
      </c>
      <c r="I422" s="17">
        <f t="shared" si="41"/>
        <v>60</v>
      </c>
      <c r="J422" s="16">
        <f t="shared" si="42"/>
        <v>-46009</v>
      </c>
      <c r="L422" s="3">
        <f t="shared" si="38"/>
        <v>0</v>
      </c>
      <c r="M422" s="20" t="b">
        <f t="shared" si="43"/>
        <v>0</v>
      </c>
      <c r="O422" s="6" t="str">
        <f t="shared" si="39"/>
        <v>Open</v>
      </c>
      <c r="P422" s="3">
        <f t="shared" si="40"/>
        <v>60</v>
      </c>
    </row>
    <row r="423" spans="7:16" ht="15.6" x14ac:dyDescent="0.3">
      <c r="G423" s="5"/>
      <c r="H423" s="17">
        <v>46069</v>
      </c>
      <c r="I423" s="17">
        <f t="shared" si="41"/>
        <v>60</v>
      </c>
      <c r="J423" s="16">
        <f t="shared" si="42"/>
        <v>-46009</v>
      </c>
      <c r="L423" s="3">
        <f t="shared" si="38"/>
        <v>0</v>
      </c>
      <c r="M423" s="20" t="b">
        <f t="shared" si="43"/>
        <v>0</v>
      </c>
      <c r="O423" s="6" t="str">
        <f t="shared" si="39"/>
        <v>Open</v>
      </c>
      <c r="P423" s="3">
        <f t="shared" si="40"/>
        <v>60</v>
      </c>
    </row>
    <row r="424" spans="7:16" ht="15.6" x14ac:dyDescent="0.3">
      <c r="G424" s="5"/>
      <c r="H424" s="17">
        <v>46069</v>
      </c>
      <c r="I424" s="17">
        <f t="shared" si="41"/>
        <v>60</v>
      </c>
      <c r="J424" s="16">
        <f t="shared" si="42"/>
        <v>-46009</v>
      </c>
      <c r="L424" s="3">
        <f t="shared" si="38"/>
        <v>0</v>
      </c>
      <c r="M424" s="20" t="b">
        <f t="shared" si="43"/>
        <v>0</v>
      </c>
      <c r="O424" s="6" t="str">
        <f t="shared" si="39"/>
        <v>Open</v>
      </c>
      <c r="P424" s="3">
        <f t="shared" si="40"/>
        <v>60</v>
      </c>
    </row>
    <row r="425" spans="7:16" ht="15.6" x14ac:dyDescent="0.3">
      <c r="G425" s="5"/>
      <c r="H425" s="18"/>
      <c r="I425" s="17">
        <f t="shared" si="41"/>
        <v>60</v>
      </c>
      <c r="J425" s="16">
        <f t="shared" si="42"/>
        <v>60</v>
      </c>
      <c r="L425" s="3">
        <f t="shared" si="38"/>
        <v>0</v>
      </c>
      <c r="M425" s="20" t="b">
        <f t="shared" si="43"/>
        <v>1</v>
      </c>
      <c r="O425" s="6" t="str">
        <f t="shared" si="39"/>
        <v>Open</v>
      </c>
      <c r="P425" s="3">
        <f t="shared" si="40"/>
        <v>60</v>
      </c>
    </row>
    <row r="426" spans="7:16" ht="15.6" x14ac:dyDescent="0.3">
      <c r="G426" s="5"/>
      <c r="H426" s="18"/>
      <c r="I426" s="17">
        <f t="shared" si="41"/>
        <v>60</v>
      </c>
      <c r="J426" s="16">
        <f t="shared" si="42"/>
        <v>60</v>
      </c>
      <c r="L426" s="3">
        <f t="shared" si="38"/>
        <v>0</v>
      </c>
      <c r="M426" s="20" t="b">
        <f t="shared" si="43"/>
        <v>1</v>
      </c>
      <c r="O426" s="6" t="str">
        <f t="shared" si="39"/>
        <v>Open</v>
      </c>
      <c r="P426" s="3">
        <f t="shared" si="40"/>
        <v>60</v>
      </c>
    </row>
    <row r="427" spans="7:16" ht="15.6" x14ac:dyDescent="0.3">
      <c r="G427" s="5"/>
      <c r="H427" s="18"/>
      <c r="I427" s="17">
        <f t="shared" si="41"/>
        <v>60</v>
      </c>
      <c r="J427" s="16">
        <f t="shared" si="42"/>
        <v>60</v>
      </c>
      <c r="L427" s="3">
        <f t="shared" si="38"/>
        <v>0</v>
      </c>
      <c r="M427" s="20" t="b">
        <f t="shared" si="43"/>
        <v>1</v>
      </c>
      <c r="O427" s="6" t="str">
        <f t="shared" si="39"/>
        <v>Open</v>
      </c>
      <c r="P427" s="3">
        <f t="shared" si="40"/>
        <v>60</v>
      </c>
    </row>
    <row r="428" spans="7:16" ht="15.6" x14ac:dyDescent="0.3">
      <c r="G428" s="5"/>
      <c r="H428" s="18"/>
      <c r="I428" s="17">
        <f t="shared" si="41"/>
        <v>60</v>
      </c>
      <c r="J428" s="16">
        <f t="shared" si="42"/>
        <v>60</v>
      </c>
      <c r="L428" s="3">
        <f t="shared" si="38"/>
        <v>0</v>
      </c>
      <c r="M428" s="20" t="b">
        <f t="shared" si="43"/>
        <v>1</v>
      </c>
      <c r="O428" s="6" t="str">
        <f t="shared" si="39"/>
        <v>Open</v>
      </c>
      <c r="P428" s="3">
        <f t="shared" si="40"/>
        <v>60</v>
      </c>
    </row>
    <row r="429" spans="7:16" ht="15.6" x14ac:dyDescent="0.3">
      <c r="G429" s="5"/>
      <c r="H429" s="18"/>
      <c r="I429" s="17">
        <f t="shared" si="41"/>
        <v>60</v>
      </c>
      <c r="J429" s="16">
        <f t="shared" si="42"/>
        <v>60</v>
      </c>
      <c r="L429" s="3">
        <f t="shared" si="38"/>
        <v>0</v>
      </c>
      <c r="M429" s="20" t="b">
        <f t="shared" si="43"/>
        <v>1</v>
      </c>
      <c r="O429" s="6" t="str">
        <f t="shared" si="39"/>
        <v>Open</v>
      </c>
      <c r="P429" s="3">
        <f t="shared" si="40"/>
        <v>60</v>
      </c>
    </row>
    <row r="430" spans="7:16" ht="15.6" x14ac:dyDescent="0.3">
      <c r="G430" s="5"/>
      <c r="H430" s="18"/>
      <c r="I430" s="17">
        <f t="shared" si="41"/>
        <v>60</v>
      </c>
      <c r="J430" s="16">
        <f t="shared" si="42"/>
        <v>60</v>
      </c>
      <c r="L430" s="3">
        <f t="shared" si="38"/>
        <v>0</v>
      </c>
      <c r="M430" s="20" t="b">
        <f t="shared" si="43"/>
        <v>1</v>
      </c>
      <c r="O430" s="6" t="str">
        <f t="shared" si="39"/>
        <v>Open</v>
      </c>
      <c r="P430" s="3">
        <f t="shared" si="40"/>
        <v>60</v>
      </c>
    </row>
    <row r="431" spans="7:16" ht="15.6" x14ac:dyDescent="0.3">
      <c r="G431" s="5"/>
      <c r="H431" s="18"/>
      <c r="I431" s="17">
        <f t="shared" si="41"/>
        <v>60</v>
      </c>
      <c r="J431" s="16">
        <f t="shared" si="42"/>
        <v>60</v>
      </c>
      <c r="L431" s="3">
        <f t="shared" si="38"/>
        <v>0</v>
      </c>
      <c r="M431" s="20" t="b">
        <f t="shared" si="43"/>
        <v>1</v>
      </c>
      <c r="O431" s="6" t="str">
        <f t="shared" si="39"/>
        <v>Open</v>
      </c>
      <c r="P431" s="3">
        <f t="shared" si="40"/>
        <v>60</v>
      </c>
    </row>
    <row r="432" spans="7:16" ht="15.6" x14ac:dyDescent="0.3">
      <c r="G432" s="5"/>
      <c r="H432" s="18"/>
      <c r="I432" s="17">
        <f t="shared" si="41"/>
        <v>60</v>
      </c>
      <c r="J432" s="16">
        <f t="shared" si="42"/>
        <v>60</v>
      </c>
      <c r="L432" s="3">
        <f t="shared" si="38"/>
        <v>0</v>
      </c>
      <c r="M432" s="20" t="b">
        <f t="shared" si="43"/>
        <v>1</v>
      </c>
      <c r="O432" s="6" t="str">
        <f t="shared" si="39"/>
        <v>Open</v>
      </c>
      <c r="P432" s="3">
        <f t="shared" si="40"/>
        <v>60</v>
      </c>
    </row>
    <row r="433" spans="7:16" ht="15.6" x14ac:dyDescent="0.3">
      <c r="G433" s="5"/>
      <c r="H433" s="18"/>
      <c r="I433" s="17">
        <f t="shared" si="41"/>
        <v>60</v>
      </c>
      <c r="J433" s="16">
        <f t="shared" si="42"/>
        <v>60</v>
      </c>
      <c r="L433" s="3">
        <f t="shared" si="38"/>
        <v>0</v>
      </c>
      <c r="M433" s="20" t="b">
        <f t="shared" si="43"/>
        <v>1</v>
      </c>
      <c r="O433" s="6" t="str">
        <f t="shared" si="39"/>
        <v>Open</v>
      </c>
      <c r="P433" s="3">
        <f t="shared" si="40"/>
        <v>60</v>
      </c>
    </row>
    <row r="434" spans="7:16" ht="15.6" x14ac:dyDescent="0.3">
      <c r="G434" s="5"/>
      <c r="H434" s="18"/>
      <c r="I434" s="17">
        <f t="shared" si="41"/>
        <v>60</v>
      </c>
      <c r="J434" s="16">
        <f t="shared" si="42"/>
        <v>60</v>
      </c>
      <c r="L434" s="3">
        <f t="shared" si="38"/>
        <v>0</v>
      </c>
      <c r="M434" s="20" t="b">
        <f t="shared" si="43"/>
        <v>1</v>
      </c>
      <c r="O434" s="6" t="str">
        <f t="shared" si="39"/>
        <v>Open</v>
      </c>
      <c r="P434" s="3">
        <f t="shared" si="40"/>
        <v>60</v>
      </c>
    </row>
    <row r="435" spans="7:16" ht="15.6" x14ac:dyDescent="0.3">
      <c r="G435" s="5"/>
      <c r="H435" s="18"/>
      <c r="I435" s="17">
        <f t="shared" si="41"/>
        <v>60</v>
      </c>
      <c r="J435" s="16">
        <f t="shared" si="42"/>
        <v>60</v>
      </c>
      <c r="L435" s="3">
        <f t="shared" si="38"/>
        <v>0</v>
      </c>
      <c r="M435" s="20" t="b">
        <f t="shared" si="43"/>
        <v>1</v>
      </c>
      <c r="O435" s="6" t="str">
        <f t="shared" si="39"/>
        <v>Open</v>
      </c>
      <c r="P435" s="3">
        <f t="shared" si="40"/>
        <v>60</v>
      </c>
    </row>
    <row r="436" spans="7:16" ht="15.6" x14ac:dyDescent="0.3">
      <c r="G436" s="5"/>
      <c r="H436" s="18"/>
      <c r="I436" s="17">
        <f t="shared" si="41"/>
        <v>60</v>
      </c>
      <c r="J436" s="16">
        <f t="shared" si="42"/>
        <v>60</v>
      </c>
      <c r="L436" s="3">
        <f t="shared" si="38"/>
        <v>0</v>
      </c>
      <c r="M436" s="20" t="b">
        <f t="shared" si="43"/>
        <v>1</v>
      </c>
      <c r="O436" s="6" t="str">
        <f t="shared" si="39"/>
        <v>Open</v>
      </c>
      <c r="P436" s="3">
        <f t="shared" si="40"/>
        <v>60</v>
      </c>
    </row>
    <row r="437" spans="7:16" ht="15.6" x14ac:dyDescent="0.3">
      <c r="G437" s="5"/>
      <c r="H437" s="18"/>
      <c r="I437" s="17">
        <f t="shared" si="41"/>
        <v>60</v>
      </c>
      <c r="J437" s="16">
        <f t="shared" si="42"/>
        <v>60</v>
      </c>
      <c r="L437" s="3">
        <f t="shared" si="38"/>
        <v>0</v>
      </c>
      <c r="M437" s="20" t="b">
        <f t="shared" si="43"/>
        <v>1</v>
      </c>
      <c r="O437" s="6" t="str">
        <f t="shared" si="39"/>
        <v>Open</v>
      </c>
      <c r="P437" s="3">
        <f t="shared" si="40"/>
        <v>60</v>
      </c>
    </row>
    <row r="438" spans="7:16" ht="15.6" x14ac:dyDescent="0.3">
      <c r="G438" s="5"/>
      <c r="H438" s="18"/>
      <c r="I438" s="17">
        <f t="shared" si="41"/>
        <v>60</v>
      </c>
      <c r="J438" s="16">
        <f t="shared" si="42"/>
        <v>60</v>
      </c>
      <c r="L438" s="3">
        <f t="shared" si="38"/>
        <v>0</v>
      </c>
      <c r="M438" s="20" t="b">
        <f t="shared" si="43"/>
        <v>1</v>
      </c>
      <c r="O438" s="6" t="str">
        <f t="shared" si="39"/>
        <v>Open</v>
      </c>
      <c r="P438" s="3">
        <f t="shared" si="40"/>
        <v>60</v>
      </c>
    </row>
    <row r="439" spans="7:16" ht="15.6" x14ac:dyDescent="0.3">
      <c r="G439" s="5"/>
      <c r="H439" s="18"/>
      <c r="I439" s="17">
        <f t="shared" si="41"/>
        <v>60</v>
      </c>
      <c r="J439" s="16">
        <f t="shared" si="42"/>
        <v>60</v>
      </c>
      <c r="L439" s="3">
        <f t="shared" si="38"/>
        <v>0</v>
      </c>
      <c r="M439" s="20" t="b">
        <f t="shared" si="43"/>
        <v>1</v>
      </c>
      <c r="O439" s="6" t="str">
        <f t="shared" si="39"/>
        <v>Open</v>
      </c>
      <c r="P439" s="3">
        <f t="shared" si="40"/>
        <v>60</v>
      </c>
    </row>
    <row r="440" spans="7:16" ht="15.6" x14ac:dyDescent="0.3">
      <c r="G440" s="5"/>
      <c r="H440" s="18"/>
      <c r="I440" s="17">
        <f t="shared" si="41"/>
        <v>60</v>
      </c>
      <c r="J440" s="16">
        <f t="shared" si="42"/>
        <v>60</v>
      </c>
      <c r="L440" s="3">
        <f t="shared" si="38"/>
        <v>0</v>
      </c>
      <c r="M440" s="20" t="b">
        <f t="shared" si="43"/>
        <v>1</v>
      </c>
      <c r="O440" s="6" t="str">
        <f t="shared" si="39"/>
        <v>Open</v>
      </c>
      <c r="P440" s="3">
        <f t="shared" si="40"/>
        <v>60</v>
      </c>
    </row>
    <row r="441" spans="7:16" ht="15.6" x14ac:dyDescent="0.3">
      <c r="G441" s="5"/>
      <c r="H441" s="18"/>
      <c r="I441" s="17">
        <f t="shared" si="41"/>
        <v>60</v>
      </c>
      <c r="J441" s="16">
        <f t="shared" si="42"/>
        <v>60</v>
      </c>
      <c r="L441" s="3">
        <f t="shared" si="38"/>
        <v>0</v>
      </c>
      <c r="M441" s="20" t="b">
        <f t="shared" si="43"/>
        <v>1</v>
      </c>
      <c r="O441" s="6" t="str">
        <f t="shared" si="39"/>
        <v>Open</v>
      </c>
      <c r="P441" s="3">
        <f t="shared" si="40"/>
        <v>60</v>
      </c>
    </row>
    <row r="442" spans="7:16" ht="15.6" x14ac:dyDescent="0.3">
      <c r="G442" s="5"/>
      <c r="H442" s="18"/>
      <c r="I442" s="17">
        <f t="shared" si="41"/>
        <v>60</v>
      </c>
      <c r="J442" s="16">
        <f t="shared" si="42"/>
        <v>60</v>
      </c>
      <c r="L442" s="3">
        <f t="shared" si="38"/>
        <v>0</v>
      </c>
      <c r="M442" s="20" t="b">
        <f t="shared" si="43"/>
        <v>1</v>
      </c>
      <c r="O442" s="6" t="str">
        <f t="shared" si="39"/>
        <v>Open</v>
      </c>
      <c r="P442" s="3">
        <f t="shared" si="40"/>
        <v>60</v>
      </c>
    </row>
    <row r="443" spans="7:16" ht="15.6" x14ac:dyDescent="0.3">
      <c r="G443" s="5"/>
      <c r="H443" s="18"/>
      <c r="I443" s="17">
        <f t="shared" si="41"/>
        <v>60</v>
      </c>
      <c r="J443" s="16">
        <f t="shared" si="42"/>
        <v>60</v>
      </c>
      <c r="L443" s="3">
        <f t="shared" si="38"/>
        <v>0</v>
      </c>
      <c r="M443" s="20" t="b">
        <f t="shared" si="43"/>
        <v>1</v>
      </c>
      <c r="O443" s="6" t="str">
        <f t="shared" si="39"/>
        <v>Open</v>
      </c>
      <c r="P443" s="3">
        <f t="shared" si="40"/>
        <v>60</v>
      </c>
    </row>
    <row r="444" spans="7:16" ht="15.6" x14ac:dyDescent="0.3">
      <c r="G444" s="5"/>
      <c r="H444" s="18"/>
      <c r="I444" s="17">
        <f t="shared" si="41"/>
        <v>60</v>
      </c>
      <c r="J444" s="16">
        <f t="shared" si="42"/>
        <v>60</v>
      </c>
      <c r="L444" s="3">
        <f t="shared" si="38"/>
        <v>0</v>
      </c>
      <c r="M444" s="20" t="b">
        <f t="shared" si="43"/>
        <v>1</v>
      </c>
      <c r="O444" s="6" t="str">
        <f t="shared" si="39"/>
        <v>Open</v>
      </c>
      <c r="P444" s="3">
        <f t="shared" si="40"/>
        <v>60</v>
      </c>
    </row>
    <row r="445" spans="7:16" ht="15.6" x14ac:dyDescent="0.3">
      <c r="G445" s="5"/>
      <c r="H445" s="18"/>
      <c r="I445" s="17">
        <f t="shared" si="41"/>
        <v>60</v>
      </c>
      <c r="J445" s="16">
        <f t="shared" si="42"/>
        <v>60</v>
      </c>
      <c r="L445" s="3">
        <f t="shared" si="38"/>
        <v>0</v>
      </c>
      <c r="M445" s="20" t="b">
        <f t="shared" si="43"/>
        <v>1</v>
      </c>
      <c r="O445" s="6" t="str">
        <f t="shared" si="39"/>
        <v>Open</v>
      </c>
      <c r="P445" s="3">
        <f t="shared" si="40"/>
        <v>60</v>
      </c>
    </row>
    <row r="446" spans="7:16" ht="15.6" x14ac:dyDescent="0.3">
      <c r="G446" s="5"/>
      <c r="H446" s="18"/>
      <c r="I446" s="17">
        <f t="shared" si="41"/>
        <v>60</v>
      </c>
      <c r="J446" s="16">
        <f t="shared" si="42"/>
        <v>60</v>
      </c>
      <c r="L446" s="3">
        <f t="shared" si="38"/>
        <v>0</v>
      </c>
      <c r="M446" s="20" t="b">
        <f t="shared" si="43"/>
        <v>1</v>
      </c>
      <c r="O446" s="6" t="str">
        <f t="shared" si="39"/>
        <v>Open</v>
      </c>
      <c r="P446" s="3">
        <f t="shared" si="40"/>
        <v>60</v>
      </c>
    </row>
    <row r="447" spans="7:16" ht="15.6" x14ac:dyDescent="0.3">
      <c r="G447" s="5"/>
      <c r="H447" s="18"/>
      <c r="I447" s="17">
        <f t="shared" si="41"/>
        <v>60</v>
      </c>
      <c r="J447" s="16">
        <f t="shared" si="42"/>
        <v>60</v>
      </c>
      <c r="L447" s="3">
        <f t="shared" si="38"/>
        <v>0</v>
      </c>
      <c r="M447" s="20" t="b">
        <f t="shared" si="43"/>
        <v>1</v>
      </c>
      <c r="O447" s="6" t="str">
        <f t="shared" si="39"/>
        <v>Open</v>
      </c>
      <c r="P447" s="3">
        <f t="shared" si="40"/>
        <v>60</v>
      </c>
    </row>
    <row r="448" spans="7:16" ht="15.6" x14ac:dyDescent="0.3">
      <c r="G448" s="5"/>
      <c r="H448" s="18"/>
      <c r="I448" s="17">
        <f t="shared" si="41"/>
        <v>60</v>
      </c>
      <c r="J448" s="16">
        <f t="shared" si="42"/>
        <v>60</v>
      </c>
      <c r="L448" s="3">
        <f t="shared" si="38"/>
        <v>0</v>
      </c>
      <c r="M448" s="20" t="b">
        <f t="shared" si="43"/>
        <v>1</v>
      </c>
      <c r="O448" s="6" t="str">
        <f t="shared" si="39"/>
        <v>Open</v>
      </c>
      <c r="P448" s="3">
        <f t="shared" si="40"/>
        <v>60</v>
      </c>
    </row>
    <row r="449" spans="7:16" ht="15.6" x14ac:dyDescent="0.3">
      <c r="G449" s="5"/>
      <c r="H449" s="18"/>
      <c r="I449" s="17">
        <f t="shared" si="41"/>
        <v>60</v>
      </c>
      <c r="J449" s="16">
        <f t="shared" si="42"/>
        <v>60</v>
      </c>
      <c r="L449" s="3">
        <f t="shared" si="38"/>
        <v>0</v>
      </c>
      <c r="M449" s="20" t="b">
        <f t="shared" si="43"/>
        <v>1</v>
      </c>
      <c r="O449" s="6" t="str">
        <f t="shared" si="39"/>
        <v>Open</v>
      </c>
      <c r="P449" s="3">
        <f t="shared" si="40"/>
        <v>60</v>
      </c>
    </row>
    <row r="450" spans="7:16" ht="15.6" x14ac:dyDescent="0.3">
      <c r="G450" s="5"/>
      <c r="H450" s="18"/>
      <c r="I450" s="17">
        <f t="shared" si="41"/>
        <v>60</v>
      </c>
      <c r="J450" s="16">
        <f t="shared" si="42"/>
        <v>60</v>
      </c>
      <c r="L450" s="3">
        <f t="shared" ref="L450:L513" si="44">K450-SUM(Q450:BX450)</f>
        <v>0</v>
      </c>
      <c r="M450" s="20" t="b">
        <f t="shared" si="43"/>
        <v>1</v>
      </c>
      <c r="O450" s="6" t="str">
        <f t="shared" ref="O450:O513" si="45">IF(COUNTA(P450:BW450)=COLUMNS(P450:BW450),"Closed","Open")</f>
        <v>Open</v>
      </c>
      <c r="P450" s="3">
        <f t="shared" ref="P450:P513" si="46">60-COUNT(Q450:BX450)</f>
        <v>60</v>
      </c>
    </row>
    <row r="451" spans="7:16" ht="15.6" x14ac:dyDescent="0.3">
      <c r="G451" s="5"/>
      <c r="H451" s="18"/>
      <c r="I451" s="17">
        <f t="shared" si="41"/>
        <v>60</v>
      </c>
      <c r="J451" s="16">
        <f t="shared" si="42"/>
        <v>60</v>
      </c>
      <c r="L451" s="3">
        <f t="shared" si="44"/>
        <v>0</v>
      </c>
      <c r="M451" s="20" t="b">
        <f t="shared" si="43"/>
        <v>1</v>
      </c>
      <c r="O451" s="6" t="str">
        <f t="shared" si="45"/>
        <v>Open</v>
      </c>
      <c r="P451" s="3">
        <f t="shared" si="46"/>
        <v>60</v>
      </c>
    </row>
    <row r="452" spans="7:16" ht="15.6" x14ac:dyDescent="0.3">
      <c r="G452" s="5"/>
      <c r="H452" s="18"/>
      <c r="I452" s="17">
        <f t="shared" si="41"/>
        <v>60</v>
      </c>
      <c r="J452" s="16">
        <f t="shared" si="42"/>
        <v>60</v>
      </c>
      <c r="L452" s="3">
        <f t="shared" si="44"/>
        <v>0</v>
      </c>
      <c r="M452" s="20" t="b">
        <f t="shared" si="43"/>
        <v>1</v>
      </c>
      <c r="O452" s="6" t="str">
        <f t="shared" si="45"/>
        <v>Open</v>
      </c>
      <c r="P452" s="3">
        <f t="shared" si="46"/>
        <v>60</v>
      </c>
    </row>
    <row r="453" spans="7:16" ht="15.6" x14ac:dyDescent="0.3">
      <c r="G453" s="5"/>
      <c r="H453" s="18"/>
      <c r="I453" s="17">
        <f t="shared" si="41"/>
        <v>60</v>
      </c>
      <c r="J453" s="16">
        <f t="shared" si="42"/>
        <v>60</v>
      </c>
      <c r="L453" s="3">
        <f t="shared" si="44"/>
        <v>0</v>
      </c>
      <c r="M453" s="20" t="b">
        <f t="shared" si="43"/>
        <v>1</v>
      </c>
      <c r="O453" s="6" t="str">
        <f t="shared" si="45"/>
        <v>Open</v>
      </c>
      <c r="P453" s="3">
        <f t="shared" si="46"/>
        <v>60</v>
      </c>
    </row>
    <row r="454" spans="7:16" ht="15.6" x14ac:dyDescent="0.3">
      <c r="G454" s="5"/>
      <c r="H454" s="18"/>
      <c r="I454" s="17">
        <f t="shared" si="41"/>
        <v>60</v>
      </c>
      <c r="J454" s="16">
        <f t="shared" si="42"/>
        <v>60</v>
      </c>
      <c r="L454" s="3">
        <f t="shared" si="44"/>
        <v>0</v>
      </c>
      <c r="M454" s="20" t="b">
        <f t="shared" si="43"/>
        <v>1</v>
      </c>
      <c r="O454" s="6" t="str">
        <f t="shared" si="45"/>
        <v>Open</v>
      </c>
      <c r="P454" s="3">
        <f t="shared" si="46"/>
        <v>60</v>
      </c>
    </row>
    <row r="455" spans="7:16" ht="15.6" x14ac:dyDescent="0.3">
      <c r="G455" s="5"/>
      <c r="H455" s="18"/>
      <c r="I455" s="17">
        <f t="shared" si="41"/>
        <v>60</v>
      </c>
      <c r="J455" s="16">
        <f t="shared" si="42"/>
        <v>60</v>
      </c>
      <c r="L455" s="3">
        <f t="shared" si="44"/>
        <v>0</v>
      </c>
      <c r="M455" s="20" t="b">
        <f t="shared" si="43"/>
        <v>1</v>
      </c>
      <c r="O455" s="6" t="str">
        <f t="shared" si="45"/>
        <v>Open</v>
      </c>
      <c r="P455" s="3">
        <f t="shared" si="46"/>
        <v>60</v>
      </c>
    </row>
    <row r="456" spans="7:16" ht="15.6" x14ac:dyDescent="0.3">
      <c r="G456" s="5"/>
      <c r="H456" s="18"/>
      <c r="I456" s="17">
        <f t="shared" si="41"/>
        <v>60</v>
      </c>
      <c r="J456" s="16">
        <f t="shared" si="42"/>
        <v>60</v>
      </c>
      <c r="L456" s="3">
        <f t="shared" si="44"/>
        <v>0</v>
      </c>
      <c r="M456" s="20" t="b">
        <f t="shared" si="43"/>
        <v>1</v>
      </c>
      <c r="O456" s="6" t="str">
        <f t="shared" si="45"/>
        <v>Open</v>
      </c>
      <c r="P456" s="3">
        <f t="shared" si="46"/>
        <v>60</v>
      </c>
    </row>
    <row r="457" spans="7:16" ht="15.6" x14ac:dyDescent="0.3">
      <c r="G457" s="5"/>
      <c r="H457" s="18"/>
      <c r="I457" s="17">
        <f t="shared" si="41"/>
        <v>60</v>
      </c>
      <c r="J457" s="16">
        <f t="shared" si="42"/>
        <v>60</v>
      </c>
      <c r="L457" s="3">
        <f t="shared" si="44"/>
        <v>0</v>
      </c>
      <c r="M457" s="20" t="b">
        <f t="shared" si="43"/>
        <v>1</v>
      </c>
      <c r="O457" s="6" t="str">
        <f t="shared" si="45"/>
        <v>Open</v>
      </c>
      <c r="P457" s="3">
        <f t="shared" si="46"/>
        <v>60</v>
      </c>
    </row>
    <row r="458" spans="7:16" ht="15.6" x14ac:dyDescent="0.3">
      <c r="G458" s="5"/>
      <c r="H458" s="18"/>
      <c r="I458" s="17">
        <f t="shared" si="41"/>
        <v>60</v>
      </c>
      <c r="J458" s="16">
        <f t="shared" si="42"/>
        <v>60</v>
      </c>
      <c r="L458" s="3">
        <f t="shared" si="44"/>
        <v>0</v>
      </c>
      <c r="M458" s="20" t="b">
        <f t="shared" si="43"/>
        <v>1</v>
      </c>
      <c r="O458" s="6" t="str">
        <f t="shared" si="45"/>
        <v>Open</v>
      </c>
      <c r="P458" s="3">
        <f t="shared" si="46"/>
        <v>60</v>
      </c>
    </row>
    <row r="459" spans="7:16" ht="15.6" x14ac:dyDescent="0.3">
      <c r="G459" s="5"/>
      <c r="H459" s="18"/>
      <c r="I459" s="17">
        <f t="shared" si="41"/>
        <v>60</v>
      </c>
      <c r="J459" s="16">
        <f t="shared" si="42"/>
        <v>60</v>
      </c>
      <c r="L459" s="3">
        <f t="shared" si="44"/>
        <v>0</v>
      </c>
      <c r="M459" s="20" t="b">
        <f t="shared" si="43"/>
        <v>1</v>
      </c>
      <c r="O459" s="6" t="str">
        <f t="shared" si="45"/>
        <v>Open</v>
      </c>
      <c r="P459" s="3">
        <f t="shared" si="46"/>
        <v>60</v>
      </c>
    </row>
    <row r="460" spans="7:16" ht="15.6" x14ac:dyDescent="0.3">
      <c r="G460" s="5"/>
      <c r="H460" s="18"/>
      <c r="I460" s="17">
        <f t="shared" si="41"/>
        <v>60</v>
      </c>
      <c r="J460" s="16">
        <f t="shared" si="42"/>
        <v>60</v>
      </c>
      <c r="L460" s="3">
        <f t="shared" si="44"/>
        <v>0</v>
      </c>
      <c r="M460" s="20" t="b">
        <f t="shared" si="43"/>
        <v>1</v>
      </c>
      <c r="O460" s="6" t="str">
        <f t="shared" si="45"/>
        <v>Open</v>
      </c>
      <c r="P460" s="3">
        <f t="shared" si="46"/>
        <v>60</v>
      </c>
    </row>
    <row r="461" spans="7:16" ht="15.6" x14ac:dyDescent="0.3">
      <c r="G461" s="5"/>
      <c r="H461" s="18"/>
      <c r="I461" s="17">
        <f t="shared" si="41"/>
        <v>60</v>
      </c>
      <c r="J461" s="16">
        <f t="shared" si="42"/>
        <v>60</v>
      </c>
      <c r="L461" s="3">
        <f t="shared" si="44"/>
        <v>0</v>
      </c>
      <c r="M461" s="20" t="b">
        <f t="shared" si="43"/>
        <v>1</v>
      </c>
      <c r="O461" s="6" t="str">
        <f t="shared" si="45"/>
        <v>Open</v>
      </c>
      <c r="P461" s="3">
        <f t="shared" si="46"/>
        <v>60</v>
      </c>
    </row>
    <row r="462" spans="7:16" ht="15.6" x14ac:dyDescent="0.3">
      <c r="G462" s="5"/>
      <c r="H462" s="18"/>
      <c r="I462" s="17">
        <f t="shared" si="41"/>
        <v>60</v>
      </c>
      <c r="J462" s="16">
        <f t="shared" si="42"/>
        <v>60</v>
      </c>
      <c r="L462" s="3">
        <f t="shared" si="44"/>
        <v>0</v>
      </c>
      <c r="M462" s="20" t="b">
        <f t="shared" si="43"/>
        <v>1</v>
      </c>
      <c r="O462" s="6" t="str">
        <f t="shared" si="45"/>
        <v>Open</v>
      </c>
      <c r="P462" s="3">
        <f t="shared" si="46"/>
        <v>60</v>
      </c>
    </row>
    <row r="463" spans="7:16" ht="15.6" x14ac:dyDescent="0.3">
      <c r="G463" s="5"/>
      <c r="H463" s="18"/>
      <c r="I463" s="17">
        <f t="shared" si="41"/>
        <v>60</v>
      </c>
      <c r="J463" s="16">
        <f t="shared" si="42"/>
        <v>60</v>
      </c>
      <c r="L463" s="3">
        <f t="shared" si="44"/>
        <v>0</v>
      </c>
      <c r="M463" s="20" t="b">
        <f t="shared" si="43"/>
        <v>1</v>
      </c>
      <c r="O463" s="6" t="str">
        <f t="shared" si="45"/>
        <v>Open</v>
      </c>
      <c r="P463" s="3">
        <f t="shared" si="46"/>
        <v>60</v>
      </c>
    </row>
    <row r="464" spans="7:16" ht="15.6" x14ac:dyDescent="0.3">
      <c r="G464" s="5"/>
      <c r="H464" s="18"/>
      <c r="I464" s="17">
        <f t="shared" si="41"/>
        <v>60</v>
      </c>
      <c r="J464" s="16">
        <f t="shared" si="42"/>
        <v>60</v>
      </c>
      <c r="L464" s="3">
        <f t="shared" si="44"/>
        <v>0</v>
      </c>
      <c r="M464" s="20" t="b">
        <f t="shared" si="43"/>
        <v>1</v>
      </c>
      <c r="O464" s="6" t="str">
        <f t="shared" si="45"/>
        <v>Open</v>
      </c>
      <c r="P464" s="3">
        <f t="shared" si="46"/>
        <v>60</v>
      </c>
    </row>
    <row r="465" spans="7:16" ht="15.6" x14ac:dyDescent="0.3">
      <c r="G465" s="5"/>
      <c r="H465" s="18"/>
      <c r="I465" s="17">
        <f t="shared" si="41"/>
        <v>60</v>
      </c>
      <c r="J465" s="16">
        <f t="shared" si="42"/>
        <v>60</v>
      </c>
      <c r="L465" s="3">
        <f t="shared" si="44"/>
        <v>0</v>
      </c>
      <c r="M465" s="20" t="b">
        <f t="shared" si="43"/>
        <v>1</v>
      </c>
      <c r="O465" s="6" t="str">
        <f t="shared" si="45"/>
        <v>Open</v>
      </c>
      <c r="P465" s="3">
        <f t="shared" si="46"/>
        <v>60</v>
      </c>
    </row>
    <row r="466" spans="7:16" ht="15.6" x14ac:dyDescent="0.3">
      <c r="G466" s="5"/>
      <c r="H466" s="18"/>
      <c r="I466" s="17">
        <f t="shared" ref="I466:I518" si="47">G466+60</f>
        <v>60</v>
      </c>
      <c r="J466" s="16">
        <f t="shared" ref="J466:J529" si="48">I466-H466</f>
        <v>60</v>
      </c>
      <c r="L466" s="3">
        <f t="shared" si="44"/>
        <v>0</v>
      </c>
      <c r="M466" s="20" t="b">
        <f t="shared" ref="M466:M529" si="49">J466=P466</f>
        <v>1</v>
      </c>
      <c r="O466" s="6" t="str">
        <f t="shared" si="45"/>
        <v>Open</v>
      </c>
      <c r="P466" s="3">
        <f t="shared" si="46"/>
        <v>60</v>
      </c>
    </row>
    <row r="467" spans="7:16" ht="15.6" x14ac:dyDescent="0.3">
      <c r="G467" s="5"/>
      <c r="H467" s="18"/>
      <c r="I467" s="17">
        <f t="shared" si="47"/>
        <v>60</v>
      </c>
      <c r="J467" s="16">
        <f t="shared" si="48"/>
        <v>60</v>
      </c>
      <c r="L467" s="3">
        <f t="shared" si="44"/>
        <v>0</v>
      </c>
      <c r="M467" s="20" t="b">
        <f t="shared" si="49"/>
        <v>1</v>
      </c>
      <c r="O467" s="6" t="str">
        <f t="shared" si="45"/>
        <v>Open</v>
      </c>
      <c r="P467" s="3">
        <f t="shared" si="46"/>
        <v>60</v>
      </c>
    </row>
    <row r="468" spans="7:16" ht="15.6" x14ac:dyDescent="0.3">
      <c r="G468" s="5"/>
      <c r="H468" s="18"/>
      <c r="I468" s="17">
        <f t="shared" si="47"/>
        <v>60</v>
      </c>
      <c r="J468" s="16">
        <f t="shared" si="48"/>
        <v>60</v>
      </c>
      <c r="L468" s="3">
        <f t="shared" si="44"/>
        <v>0</v>
      </c>
      <c r="M468" s="20" t="b">
        <f t="shared" si="49"/>
        <v>1</v>
      </c>
      <c r="O468" s="6" t="str">
        <f t="shared" si="45"/>
        <v>Open</v>
      </c>
      <c r="P468" s="3">
        <f t="shared" si="46"/>
        <v>60</v>
      </c>
    </row>
    <row r="469" spans="7:16" ht="15.6" x14ac:dyDescent="0.3">
      <c r="G469" s="5"/>
      <c r="H469" s="18"/>
      <c r="I469" s="17">
        <f t="shared" si="47"/>
        <v>60</v>
      </c>
      <c r="J469" s="16">
        <f t="shared" si="48"/>
        <v>60</v>
      </c>
      <c r="L469" s="3">
        <f t="shared" si="44"/>
        <v>0</v>
      </c>
      <c r="M469" s="20" t="b">
        <f t="shared" si="49"/>
        <v>1</v>
      </c>
      <c r="O469" s="6" t="str">
        <f t="shared" si="45"/>
        <v>Open</v>
      </c>
      <c r="P469" s="3">
        <f t="shared" si="46"/>
        <v>60</v>
      </c>
    </row>
    <row r="470" spans="7:16" ht="15.6" x14ac:dyDescent="0.3">
      <c r="G470" s="5"/>
      <c r="H470" s="18"/>
      <c r="I470" s="17">
        <f t="shared" si="47"/>
        <v>60</v>
      </c>
      <c r="J470" s="16">
        <f t="shared" si="48"/>
        <v>60</v>
      </c>
      <c r="L470" s="3">
        <f t="shared" si="44"/>
        <v>0</v>
      </c>
      <c r="M470" s="20" t="b">
        <f t="shared" si="49"/>
        <v>1</v>
      </c>
      <c r="O470" s="6" t="str">
        <f t="shared" si="45"/>
        <v>Open</v>
      </c>
      <c r="P470" s="3">
        <f t="shared" si="46"/>
        <v>60</v>
      </c>
    </row>
    <row r="471" spans="7:16" ht="15.6" x14ac:dyDescent="0.3">
      <c r="G471" s="5"/>
      <c r="H471" s="18"/>
      <c r="I471" s="17">
        <f t="shared" si="47"/>
        <v>60</v>
      </c>
      <c r="J471" s="16">
        <f t="shared" si="48"/>
        <v>60</v>
      </c>
      <c r="L471" s="3">
        <f t="shared" si="44"/>
        <v>0</v>
      </c>
      <c r="M471" s="20" t="b">
        <f t="shared" si="49"/>
        <v>1</v>
      </c>
      <c r="O471" s="6" t="str">
        <f t="shared" si="45"/>
        <v>Open</v>
      </c>
      <c r="P471" s="3">
        <f t="shared" si="46"/>
        <v>60</v>
      </c>
    </row>
    <row r="472" spans="7:16" ht="15.6" x14ac:dyDescent="0.3">
      <c r="G472" s="5"/>
      <c r="H472" s="18"/>
      <c r="I472" s="17">
        <f t="shared" si="47"/>
        <v>60</v>
      </c>
      <c r="J472" s="16">
        <f t="shared" si="48"/>
        <v>60</v>
      </c>
      <c r="L472" s="3">
        <f t="shared" si="44"/>
        <v>0</v>
      </c>
      <c r="M472" s="20" t="b">
        <f t="shared" si="49"/>
        <v>1</v>
      </c>
      <c r="O472" s="6" t="str">
        <f t="shared" si="45"/>
        <v>Open</v>
      </c>
      <c r="P472" s="3">
        <f t="shared" si="46"/>
        <v>60</v>
      </c>
    </row>
    <row r="473" spans="7:16" ht="15.6" x14ac:dyDescent="0.3">
      <c r="G473" s="5"/>
      <c r="H473" s="18"/>
      <c r="I473" s="17">
        <f t="shared" si="47"/>
        <v>60</v>
      </c>
      <c r="J473" s="16">
        <f t="shared" si="48"/>
        <v>60</v>
      </c>
      <c r="L473" s="3">
        <f t="shared" si="44"/>
        <v>0</v>
      </c>
      <c r="M473" s="20" t="b">
        <f t="shared" si="49"/>
        <v>1</v>
      </c>
      <c r="O473" s="6" t="str">
        <f t="shared" si="45"/>
        <v>Open</v>
      </c>
      <c r="P473" s="3">
        <f t="shared" si="46"/>
        <v>60</v>
      </c>
    </row>
    <row r="474" spans="7:16" ht="15.6" x14ac:dyDescent="0.3">
      <c r="G474" s="5"/>
      <c r="H474" s="18"/>
      <c r="I474" s="17">
        <f t="shared" si="47"/>
        <v>60</v>
      </c>
      <c r="J474" s="16">
        <f t="shared" si="48"/>
        <v>60</v>
      </c>
      <c r="L474" s="3">
        <f t="shared" si="44"/>
        <v>0</v>
      </c>
      <c r="M474" s="20" t="b">
        <f t="shared" si="49"/>
        <v>1</v>
      </c>
      <c r="O474" s="6" t="str">
        <f t="shared" si="45"/>
        <v>Open</v>
      </c>
      <c r="P474" s="3">
        <f t="shared" si="46"/>
        <v>60</v>
      </c>
    </row>
    <row r="475" spans="7:16" ht="15.6" x14ac:dyDescent="0.3">
      <c r="G475" s="5"/>
      <c r="H475" s="18"/>
      <c r="I475" s="17">
        <f t="shared" si="47"/>
        <v>60</v>
      </c>
      <c r="J475" s="16">
        <f t="shared" si="48"/>
        <v>60</v>
      </c>
      <c r="L475" s="3">
        <f t="shared" si="44"/>
        <v>0</v>
      </c>
      <c r="M475" s="20" t="b">
        <f t="shared" si="49"/>
        <v>1</v>
      </c>
      <c r="O475" s="6" t="str">
        <f t="shared" si="45"/>
        <v>Open</v>
      </c>
      <c r="P475" s="3">
        <f t="shared" si="46"/>
        <v>60</v>
      </c>
    </row>
    <row r="476" spans="7:16" ht="15.6" x14ac:dyDescent="0.3">
      <c r="G476" s="5"/>
      <c r="H476" s="18"/>
      <c r="I476" s="17">
        <f t="shared" si="47"/>
        <v>60</v>
      </c>
      <c r="J476" s="16">
        <f t="shared" si="48"/>
        <v>60</v>
      </c>
      <c r="L476" s="3">
        <f t="shared" si="44"/>
        <v>0</v>
      </c>
      <c r="M476" s="20" t="b">
        <f t="shared" si="49"/>
        <v>1</v>
      </c>
      <c r="O476" s="6" t="str">
        <f t="shared" si="45"/>
        <v>Open</v>
      </c>
      <c r="P476" s="3">
        <f t="shared" si="46"/>
        <v>60</v>
      </c>
    </row>
    <row r="477" spans="7:16" ht="15.6" x14ac:dyDescent="0.3">
      <c r="G477" s="5"/>
      <c r="H477" s="18"/>
      <c r="I477" s="17">
        <f t="shared" si="47"/>
        <v>60</v>
      </c>
      <c r="J477" s="16">
        <f t="shared" si="48"/>
        <v>60</v>
      </c>
      <c r="L477" s="3">
        <f t="shared" si="44"/>
        <v>0</v>
      </c>
      <c r="M477" s="20" t="b">
        <f t="shared" si="49"/>
        <v>1</v>
      </c>
      <c r="O477" s="6" t="str">
        <f t="shared" si="45"/>
        <v>Open</v>
      </c>
      <c r="P477" s="3">
        <f t="shared" si="46"/>
        <v>60</v>
      </c>
    </row>
    <row r="478" spans="7:16" ht="15.6" x14ac:dyDescent="0.3">
      <c r="G478" s="5"/>
      <c r="H478" s="18"/>
      <c r="I478" s="17">
        <f t="shared" si="47"/>
        <v>60</v>
      </c>
      <c r="J478" s="16">
        <f t="shared" si="48"/>
        <v>60</v>
      </c>
      <c r="L478" s="3">
        <f t="shared" si="44"/>
        <v>0</v>
      </c>
      <c r="M478" s="20" t="b">
        <f t="shared" si="49"/>
        <v>1</v>
      </c>
      <c r="O478" s="6" t="str">
        <f t="shared" si="45"/>
        <v>Open</v>
      </c>
      <c r="P478" s="3">
        <f t="shared" si="46"/>
        <v>60</v>
      </c>
    </row>
    <row r="479" spans="7:16" ht="15.6" x14ac:dyDescent="0.3">
      <c r="G479" s="5"/>
      <c r="H479" s="18"/>
      <c r="I479" s="17">
        <f t="shared" si="47"/>
        <v>60</v>
      </c>
      <c r="J479" s="16">
        <f t="shared" si="48"/>
        <v>60</v>
      </c>
      <c r="L479" s="3">
        <f t="shared" si="44"/>
        <v>0</v>
      </c>
      <c r="M479" s="20" t="b">
        <f t="shared" si="49"/>
        <v>1</v>
      </c>
      <c r="O479" s="6" t="str">
        <f t="shared" si="45"/>
        <v>Open</v>
      </c>
      <c r="P479" s="3">
        <f t="shared" si="46"/>
        <v>60</v>
      </c>
    </row>
    <row r="480" spans="7:16" ht="15.6" x14ac:dyDescent="0.3">
      <c r="G480" s="5"/>
      <c r="H480" s="18"/>
      <c r="I480" s="17">
        <f t="shared" si="47"/>
        <v>60</v>
      </c>
      <c r="J480" s="16">
        <f t="shared" si="48"/>
        <v>60</v>
      </c>
      <c r="L480" s="3">
        <f t="shared" si="44"/>
        <v>0</v>
      </c>
      <c r="M480" s="20" t="b">
        <f t="shared" si="49"/>
        <v>1</v>
      </c>
      <c r="O480" s="6" t="str">
        <f t="shared" si="45"/>
        <v>Open</v>
      </c>
      <c r="P480" s="3">
        <f t="shared" si="46"/>
        <v>60</v>
      </c>
    </row>
    <row r="481" spans="7:16" ht="15.6" x14ac:dyDescent="0.3">
      <c r="G481" s="5"/>
      <c r="H481" s="18"/>
      <c r="I481" s="17">
        <f t="shared" si="47"/>
        <v>60</v>
      </c>
      <c r="J481" s="16">
        <f t="shared" si="48"/>
        <v>60</v>
      </c>
      <c r="L481" s="3">
        <f t="shared" si="44"/>
        <v>0</v>
      </c>
      <c r="M481" s="20" t="b">
        <f t="shared" si="49"/>
        <v>1</v>
      </c>
      <c r="O481" s="6" t="str">
        <f t="shared" si="45"/>
        <v>Open</v>
      </c>
      <c r="P481" s="3">
        <f t="shared" si="46"/>
        <v>60</v>
      </c>
    </row>
    <row r="482" spans="7:16" ht="15.6" x14ac:dyDescent="0.3">
      <c r="G482" s="5"/>
      <c r="H482" s="18"/>
      <c r="I482" s="17">
        <f t="shared" si="47"/>
        <v>60</v>
      </c>
      <c r="J482" s="16">
        <f t="shared" si="48"/>
        <v>60</v>
      </c>
      <c r="L482" s="3">
        <f t="shared" si="44"/>
        <v>0</v>
      </c>
      <c r="M482" s="20" t="b">
        <f t="shared" si="49"/>
        <v>1</v>
      </c>
      <c r="O482" s="6" t="str">
        <f t="shared" si="45"/>
        <v>Open</v>
      </c>
      <c r="P482" s="3">
        <f t="shared" si="46"/>
        <v>60</v>
      </c>
    </row>
    <row r="483" spans="7:16" ht="15.6" x14ac:dyDescent="0.3">
      <c r="G483" s="5"/>
      <c r="H483" s="18"/>
      <c r="I483" s="17">
        <f t="shared" si="47"/>
        <v>60</v>
      </c>
      <c r="J483" s="16">
        <f t="shared" si="48"/>
        <v>60</v>
      </c>
      <c r="L483" s="3">
        <f t="shared" si="44"/>
        <v>0</v>
      </c>
      <c r="M483" s="20" t="b">
        <f t="shared" si="49"/>
        <v>1</v>
      </c>
      <c r="O483" s="6" t="str">
        <f t="shared" si="45"/>
        <v>Open</v>
      </c>
      <c r="P483" s="3">
        <f t="shared" si="46"/>
        <v>60</v>
      </c>
    </row>
    <row r="484" spans="7:16" ht="15.6" x14ac:dyDescent="0.3">
      <c r="G484" s="5"/>
      <c r="H484" s="18"/>
      <c r="I484" s="17">
        <f t="shared" si="47"/>
        <v>60</v>
      </c>
      <c r="J484" s="16">
        <f t="shared" si="48"/>
        <v>60</v>
      </c>
      <c r="L484" s="3">
        <f t="shared" si="44"/>
        <v>0</v>
      </c>
      <c r="M484" s="20" t="b">
        <f t="shared" si="49"/>
        <v>1</v>
      </c>
      <c r="O484" s="6" t="str">
        <f t="shared" si="45"/>
        <v>Open</v>
      </c>
      <c r="P484" s="3">
        <f t="shared" si="46"/>
        <v>60</v>
      </c>
    </row>
    <row r="485" spans="7:16" ht="15.6" x14ac:dyDescent="0.3">
      <c r="G485" s="5"/>
      <c r="H485" s="18"/>
      <c r="I485" s="17">
        <f t="shared" si="47"/>
        <v>60</v>
      </c>
      <c r="J485" s="16">
        <f t="shared" si="48"/>
        <v>60</v>
      </c>
      <c r="L485" s="3">
        <f t="shared" si="44"/>
        <v>0</v>
      </c>
      <c r="M485" s="20" t="b">
        <f t="shared" si="49"/>
        <v>1</v>
      </c>
      <c r="O485" s="6" t="str">
        <f t="shared" si="45"/>
        <v>Open</v>
      </c>
      <c r="P485" s="3">
        <f t="shared" si="46"/>
        <v>60</v>
      </c>
    </row>
    <row r="486" spans="7:16" ht="15.6" x14ac:dyDescent="0.3">
      <c r="G486" s="5"/>
      <c r="H486" s="18"/>
      <c r="I486" s="17">
        <f t="shared" si="47"/>
        <v>60</v>
      </c>
      <c r="J486" s="16">
        <f t="shared" si="48"/>
        <v>60</v>
      </c>
      <c r="L486" s="3">
        <f t="shared" si="44"/>
        <v>0</v>
      </c>
      <c r="M486" s="20" t="b">
        <f t="shared" si="49"/>
        <v>1</v>
      </c>
      <c r="O486" s="6" t="str">
        <f t="shared" si="45"/>
        <v>Open</v>
      </c>
      <c r="P486" s="3">
        <f t="shared" si="46"/>
        <v>60</v>
      </c>
    </row>
    <row r="487" spans="7:16" ht="15.6" x14ac:dyDescent="0.3">
      <c r="G487" s="5"/>
      <c r="H487" s="18"/>
      <c r="I487" s="17">
        <f t="shared" si="47"/>
        <v>60</v>
      </c>
      <c r="J487" s="16">
        <f t="shared" si="48"/>
        <v>60</v>
      </c>
      <c r="L487" s="3">
        <f t="shared" si="44"/>
        <v>0</v>
      </c>
      <c r="M487" s="20" t="b">
        <f t="shared" si="49"/>
        <v>1</v>
      </c>
      <c r="O487" s="6" t="str">
        <f t="shared" si="45"/>
        <v>Open</v>
      </c>
      <c r="P487" s="3">
        <f t="shared" si="46"/>
        <v>60</v>
      </c>
    </row>
    <row r="488" spans="7:16" ht="15.6" x14ac:dyDescent="0.3">
      <c r="G488" s="5"/>
      <c r="H488" s="18"/>
      <c r="I488" s="17">
        <f t="shared" si="47"/>
        <v>60</v>
      </c>
      <c r="J488" s="16">
        <f t="shared" si="48"/>
        <v>60</v>
      </c>
      <c r="L488" s="3">
        <f t="shared" si="44"/>
        <v>0</v>
      </c>
      <c r="M488" s="20" t="b">
        <f t="shared" si="49"/>
        <v>1</v>
      </c>
      <c r="O488" s="6" t="str">
        <f t="shared" si="45"/>
        <v>Open</v>
      </c>
      <c r="P488" s="3">
        <f t="shared" si="46"/>
        <v>60</v>
      </c>
    </row>
    <row r="489" spans="7:16" ht="15.6" x14ac:dyDescent="0.3">
      <c r="G489" s="5"/>
      <c r="H489" s="18"/>
      <c r="I489" s="17">
        <f t="shared" si="47"/>
        <v>60</v>
      </c>
      <c r="J489" s="16">
        <f t="shared" si="48"/>
        <v>60</v>
      </c>
      <c r="L489" s="3">
        <f t="shared" si="44"/>
        <v>0</v>
      </c>
      <c r="M489" s="20" t="b">
        <f t="shared" si="49"/>
        <v>1</v>
      </c>
      <c r="O489" s="6" t="str">
        <f t="shared" si="45"/>
        <v>Open</v>
      </c>
      <c r="P489" s="3">
        <f t="shared" si="46"/>
        <v>60</v>
      </c>
    </row>
    <row r="490" spans="7:16" ht="15.6" x14ac:dyDescent="0.3">
      <c r="G490" s="5"/>
      <c r="H490" s="18"/>
      <c r="I490" s="17">
        <f t="shared" si="47"/>
        <v>60</v>
      </c>
      <c r="J490" s="16">
        <f t="shared" si="48"/>
        <v>60</v>
      </c>
      <c r="L490" s="3">
        <f t="shared" si="44"/>
        <v>0</v>
      </c>
      <c r="M490" s="20" t="b">
        <f t="shared" si="49"/>
        <v>1</v>
      </c>
      <c r="O490" s="6" t="str">
        <f t="shared" si="45"/>
        <v>Open</v>
      </c>
      <c r="P490" s="3">
        <f t="shared" si="46"/>
        <v>60</v>
      </c>
    </row>
    <row r="491" spans="7:16" ht="15.6" x14ac:dyDescent="0.3">
      <c r="G491" s="5"/>
      <c r="H491" s="18"/>
      <c r="I491" s="17">
        <f t="shared" si="47"/>
        <v>60</v>
      </c>
      <c r="J491" s="16">
        <f t="shared" si="48"/>
        <v>60</v>
      </c>
      <c r="L491" s="3">
        <f t="shared" si="44"/>
        <v>0</v>
      </c>
      <c r="M491" s="20" t="b">
        <f t="shared" si="49"/>
        <v>1</v>
      </c>
      <c r="O491" s="6" t="str">
        <f t="shared" si="45"/>
        <v>Open</v>
      </c>
      <c r="P491" s="3">
        <f t="shared" si="46"/>
        <v>60</v>
      </c>
    </row>
    <row r="492" spans="7:16" ht="15.6" x14ac:dyDescent="0.3">
      <c r="G492" s="5"/>
      <c r="H492" s="18"/>
      <c r="I492" s="17">
        <f t="shared" si="47"/>
        <v>60</v>
      </c>
      <c r="J492" s="16">
        <f t="shared" si="48"/>
        <v>60</v>
      </c>
      <c r="L492" s="3">
        <f t="shared" si="44"/>
        <v>0</v>
      </c>
      <c r="M492" s="20" t="b">
        <f t="shared" si="49"/>
        <v>1</v>
      </c>
      <c r="O492" s="6" t="str">
        <f t="shared" si="45"/>
        <v>Open</v>
      </c>
      <c r="P492" s="3">
        <f t="shared" si="46"/>
        <v>60</v>
      </c>
    </row>
    <row r="493" spans="7:16" ht="15.6" x14ac:dyDescent="0.3">
      <c r="G493" s="5"/>
      <c r="H493" s="18"/>
      <c r="I493" s="17">
        <f t="shared" si="47"/>
        <v>60</v>
      </c>
      <c r="J493" s="16">
        <f t="shared" si="48"/>
        <v>60</v>
      </c>
      <c r="L493" s="3">
        <f t="shared" si="44"/>
        <v>0</v>
      </c>
      <c r="M493" s="20" t="b">
        <f t="shared" si="49"/>
        <v>1</v>
      </c>
      <c r="O493" s="6" t="str">
        <f t="shared" si="45"/>
        <v>Open</v>
      </c>
      <c r="P493" s="3">
        <f t="shared" si="46"/>
        <v>60</v>
      </c>
    </row>
    <row r="494" spans="7:16" ht="15.6" x14ac:dyDescent="0.3">
      <c r="G494" s="5"/>
      <c r="H494" s="18"/>
      <c r="I494" s="17">
        <f t="shared" si="47"/>
        <v>60</v>
      </c>
      <c r="J494" s="16">
        <f t="shared" si="48"/>
        <v>60</v>
      </c>
      <c r="L494" s="3">
        <f t="shared" si="44"/>
        <v>0</v>
      </c>
      <c r="M494" s="20" t="b">
        <f t="shared" si="49"/>
        <v>1</v>
      </c>
      <c r="O494" s="6" t="str">
        <f t="shared" si="45"/>
        <v>Open</v>
      </c>
      <c r="P494" s="3">
        <f t="shared" si="46"/>
        <v>60</v>
      </c>
    </row>
    <row r="495" spans="7:16" ht="15.6" x14ac:dyDescent="0.3">
      <c r="G495" s="5"/>
      <c r="H495" s="18"/>
      <c r="I495" s="17">
        <f t="shared" si="47"/>
        <v>60</v>
      </c>
      <c r="J495" s="16">
        <f t="shared" si="48"/>
        <v>60</v>
      </c>
      <c r="L495" s="3">
        <f t="shared" si="44"/>
        <v>0</v>
      </c>
      <c r="M495" s="20" t="b">
        <f t="shared" si="49"/>
        <v>1</v>
      </c>
      <c r="O495" s="6" t="str">
        <f t="shared" si="45"/>
        <v>Open</v>
      </c>
      <c r="P495" s="3">
        <f t="shared" si="46"/>
        <v>60</v>
      </c>
    </row>
    <row r="496" spans="7:16" ht="15.6" x14ac:dyDescent="0.3">
      <c r="G496" s="5"/>
      <c r="H496" s="18"/>
      <c r="I496" s="17">
        <f t="shared" si="47"/>
        <v>60</v>
      </c>
      <c r="J496" s="16">
        <f t="shared" si="48"/>
        <v>60</v>
      </c>
      <c r="L496" s="3">
        <f t="shared" si="44"/>
        <v>0</v>
      </c>
      <c r="M496" s="20" t="b">
        <f t="shared" si="49"/>
        <v>1</v>
      </c>
      <c r="O496" s="6" t="str">
        <f t="shared" si="45"/>
        <v>Open</v>
      </c>
      <c r="P496" s="3">
        <f t="shared" si="46"/>
        <v>60</v>
      </c>
    </row>
    <row r="497" spans="7:16" ht="15.6" x14ac:dyDescent="0.3">
      <c r="G497" s="5"/>
      <c r="H497" s="18"/>
      <c r="I497" s="17">
        <f t="shared" si="47"/>
        <v>60</v>
      </c>
      <c r="J497" s="16">
        <f t="shared" si="48"/>
        <v>60</v>
      </c>
      <c r="L497" s="3">
        <f t="shared" si="44"/>
        <v>0</v>
      </c>
      <c r="M497" s="20" t="b">
        <f t="shared" si="49"/>
        <v>1</v>
      </c>
      <c r="O497" s="6" t="str">
        <f t="shared" si="45"/>
        <v>Open</v>
      </c>
      <c r="P497" s="3">
        <f t="shared" si="46"/>
        <v>60</v>
      </c>
    </row>
    <row r="498" spans="7:16" ht="15.6" x14ac:dyDescent="0.3">
      <c r="G498" s="5"/>
      <c r="H498" s="18"/>
      <c r="I498" s="17">
        <f t="shared" si="47"/>
        <v>60</v>
      </c>
      <c r="J498" s="16">
        <f t="shared" si="48"/>
        <v>60</v>
      </c>
      <c r="L498" s="3">
        <f t="shared" si="44"/>
        <v>0</v>
      </c>
      <c r="M498" s="20" t="b">
        <f t="shared" si="49"/>
        <v>1</v>
      </c>
      <c r="O498" s="6" t="str">
        <f t="shared" si="45"/>
        <v>Open</v>
      </c>
      <c r="P498" s="3">
        <f t="shared" si="46"/>
        <v>60</v>
      </c>
    </row>
    <row r="499" spans="7:16" ht="15.6" x14ac:dyDescent="0.3">
      <c r="G499" s="5"/>
      <c r="H499" s="18"/>
      <c r="I499" s="17">
        <f t="shared" si="47"/>
        <v>60</v>
      </c>
      <c r="J499" s="16">
        <f t="shared" si="48"/>
        <v>60</v>
      </c>
      <c r="L499" s="3">
        <f t="shared" si="44"/>
        <v>0</v>
      </c>
      <c r="M499" s="20" t="b">
        <f t="shared" si="49"/>
        <v>1</v>
      </c>
      <c r="O499" s="6" t="str">
        <f t="shared" si="45"/>
        <v>Open</v>
      </c>
      <c r="P499" s="3">
        <f t="shared" si="46"/>
        <v>60</v>
      </c>
    </row>
    <row r="500" spans="7:16" ht="15.6" x14ac:dyDescent="0.3">
      <c r="G500" s="5"/>
      <c r="H500" s="18"/>
      <c r="I500" s="17">
        <f t="shared" si="47"/>
        <v>60</v>
      </c>
      <c r="J500" s="16">
        <f t="shared" si="48"/>
        <v>60</v>
      </c>
      <c r="L500" s="3">
        <f t="shared" si="44"/>
        <v>0</v>
      </c>
      <c r="M500" s="20" t="b">
        <f t="shared" si="49"/>
        <v>1</v>
      </c>
      <c r="O500" s="6" t="str">
        <f t="shared" si="45"/>
        <v>Open</v>
      </c>
      <c r="P500" s="3">
        <f t="shared" si="46"/>
        <v>60</v>
      </c>
    </row>
    <row r="501" spans="7:16" ht="15.6" x14ac:dyDescent="0.3">
      <c r="G501" s="5"/>
      <c r="H501" s="18"/>
      <c r="I501" s="17">
        <f t="shared" si="47"/>
        <v>60</v>
      </c>
      <c r="J501" s="16">
        <f t="shared" si="48"/>
        <v>60</v>
      </c>
      <c r="L501" s="3">
        <f t="shared" si="44"/>
        <v>0</v>
      </c>
      <c r="M501" s="20" t="b">
        <f t="shared" si="49"/>
        <v>1</v>
      </c>
      <c r="O501" s="6" t="str">
        <f t="shared" si="45"/>
        <v>Open</v>
      </c>
      <c r="P501" s="3">
        <f t="shared" si="46"/>
        <v>60</v>
      </c>
    </row>
    <row r="502" spans="7:16" ht="15.6" x14ac:dyDescent="0.3">
      <c r="G502" s="5"/>
      <c r="H502" s="18"/>
      <c r="I502" s="17">
        <f t="shared" si="47"/>
        <v>60</v>
      </c>
      <c r="J502" s="16">
        <f t="shared" si="48"/>
        <v>60</v>
      </c>
      <c r="L502" s="3">
        <f t="shared" si="44"/>
        <v>0</v>
      </c>
      <c r="M502" s="20" t="b">
        <f t="shared" si="49"/>
        <v>1</v>
      </c>
      <c r="O502" s="6" t="str">
        <f t="shared" si="45"/>
        <v>Open</v>
      </c>
      <c r="P502" s="3">
        <f t="shared" si="46"/>
        <v>60</v>
      </c>
    </row>
    <row r="503" spans="7:16" ht="15.6" x14ac:dyDescent="0.3">
      <c r="G503" s="5"/>
      <c r="H503" s="18"/>
      <c r="I503" s="17">
        <f t="shared" si="47"/>
        <v>60</v>
      </c>
      <c r="J503" s="16">
        <f t="shared" si="48"/>
        <v>60</v>
      </c>
      <c r="L503" s="3">
        <f t="shared" si="44"/>
        <v>0</v>
      </c>
      <c r="M503" s="20" t="b">
        <f t="shared" si="49"/>
        <v>1</v>
      </c>
      <c r="O503" s="6" t="str">
        <f t="shared" si="45"/>
        <v>Open</v>
      </c>
      <c r="P503" s="3">
        <f t="shared" si="46"/>
        <v>60</v>
      </c>
    </row>
    <row r="504" spans="7:16" ht="15.6" x14ac:dyDescent="0.3">
      <c r="G504" s="5"/>
      <c r="H504" s="18"/>
      <c r="I504" s="17">
        <f t="shared" si="47"/>
        <v>60</v>
      </c>
      <c r="J504" s="16">
        <f t="shared" si="48"/>
        <v>60</v>
      </c>
      <c r="L504" s="3">
        <f t="shared" si="44"/>
        <v>0</v>
      </c>
      <c r="M504" s="20" t="b">
        <f t="shared" si="49"/>
        <v>1</v>
      </c>
      <c r="O504" s="6" t="str">
        <f t="shared" si="45"/>
        <v>Open</v>
      </c>
      <c r="P504" s="3">
        <f t="shared" si="46"/>
        <v>60</v>
      </c>
    </row>
    <row r="505" spans="7:16" ht="15.6" x14ac:dyDescent="0.3">
      <c r="G505" s="5"/>
      <c r="H505" s="18"/>
      <c r="I505" s="17">
        <f t="shared" si="47"/>
        <v>60</v>
      </c>
      <c r="J505" s="16">
        <f t="shared" si="48"/>
        <v>60</v>
      </c>
      <c r="L505" s="3">
        <f t="shared" si="44"/>
        <v>0</v>
      </c>
      <c r="M505" s="20" t="b">
        <f t="shared" si="49"/>
        <v>1</v>
      </c>
      <c r="O505" s="6" t="str">
        <f t="shared" si="45"/>
        <v>Open</v>
      </c>
      <c r="P505" s="3">
        <f t="shared" si="46"/>
        <v>60</v>
      </c>
    </row>
    <row r="506" spans="7:16" ht="15.6" x14ac:dyDescent="0.3">
      <c r="G506" s="5"/>
      <c r="H506" s="18"/>
      <c r="I506" s="17">
        <f t="shared" si="47"/>
        <v>60</v>
      </c>
      <c r="J506" s="16">
        <f t="shared" si="48"/>
        <v>60</v>
      </c>
      <c r="L506" s="3">
        <f t="shared" si="44"/>
        <v>0</v>
      </c>
      <c r="M506" s="20" t="b">
        <f t="shared" si="49"/>
        <v>1</v>
      </c>
      <c r="O506" s="6" t="str">
        <f t="shared" si="45"/>
        <v>Open</v>
      </c>
      <c r="P506" s="3">
        <f t="shared" si="46"/>
        <v>60</v>
      </c>
    </row>
    <row r="507" spans="7:16" ht="15.6" x14ac:dyDescent="0.3">
      <c r="G507" s="5"/>
      <c r="H507" s="18"/>
      <c r="I507" s="17">
        <f t="shared" si="47"/>
        <v>60</v>
      </c>
      <c r="J507" s="16">
        <f t="shared" si="48"/>
        <v>60</v>
      </c>
      <c r="L507" s="3">
        <f t="shared" si="44"/>
        <v>0</v>
      </c>
      <c r="M507" s="20" t="b">
        <f t="shared" si="49"/>
        <v>1</v>
      </c>
      <c r="O507" s="6" t="str">
        <f t="shared" si="45"/>
        <v>Open</v>
      </c>
      <c r="P507" s="3">
        <f t="shared" si="46"/>
        <v>60</v>
      </c>
    </row>
    <row r="508" spans="7:16" ht="15.6" x14ac:dyDescent="0.3">
      <c r="G508" s="5"/>
      <c r="H508" s="18"/>
      <c r="I508" s="17">
        <f t="shared" si="47"/>
        <v>60</v>
      </c>
      <c r="J508" s="16">
        <f t="shared" si="48"/>
        <v>60</v>
      </c>
      <c r="L508" s="3">
        <f t="shared" si="44"/>
        <v>0</v>
      </c>
      <c r="M508" s="20" t="b">
        <f t="shared" si="49"/>
        <v>1</v>
      </c>
      <c r="O508" s="6" t="str">
        <f t="shared" si="45"/>
        <v>Open</v>
      </c>
      <c r="P508" s="3">
        <f t="shared" si="46"/>
        <v>60</v>
      </c>
    </row>
    <row r="509" spans="7:16" ht="15.6" x14ac:dyDescent="0.3">
      <c r="G509" s="5"/>
      <c r="H509" s="18"/>
      <c r="I509" s="17">
        <f t="shared" si="47"/>
        <v>60</v>
      </c>
      <c r="J509" s="16">
        <f t="shared" si="48"/>
        <v>60</v>
      </c>
      <c r="L509" s="3">
        <f t="shared" si="44"/>
        <v>0</v>
      </c>
      <c r="M509" s="20" t="b">
        <f t="shared" si="49"/>
        <v>1</v>
      </c>
      <c r="O509" s="6" t="str">
        <f t="shared" si="45"/>
        <v>Open</v>
      </c>
      <c r="P509" s="3">
        <f t="shared" si="46"/>
        <v>60</v>
      </c>
    </row>
    <row r="510" spans="7:16" ht="15.6" x14ac:dyDescent="0.3">
      <c r="G510" s="5"/>
      <c r="H510" s="18"/>
      <c r="I510" s="17">
        <f t="shared" si="47"/>
        <v>60</v>
      </c>
      <c r="J510" s="16">
        <f t="shared" si="48"/>
        <v>60</v>
      </c>
      <c r="L510" s="3">
        <f t="shared" si="44"/>
        <v>0</v>
      </c>
      <c r="M510" s="20" t="b">
        <f t="shared" si="49"/>
        <v>1</v>
      </c>
      <c r="O510" s="6" t="str">
        <f t="shared" si="45"/>
        <v>Open</v>
      </c>
      <c r="P510" s="3">
        <f t="shared" si="46"/>
        <v>60</v>
      </c>
    </row>
    <row r="511" spans="7:16" ht="15.6" x14ac:dyDescent="0.3">
      <c r="G511" s="5"/>
      <c r="H511" s="18"/>
      <c r="I511" s="17">
        <f t="shared" si="47"/>
        <v>60</v>
      </c>
      <c r="J511" s="16">
        <f t="shared" si="48"/>
        <v>60</v>
      </c>
      <c r="L511" s="3">
        <f t="shared" si="44"/>
        <v>0</v>
      </c>
      <c r="M511" s="20" t="b">
        <f t="shared" si="49"/>
        <v>1</v>
      </c>
      <c r="O511" s="6" t="str">
        <f t="shared" si="45"/>
        <v>Open</v>
      </c>
      <c r="P511" s="3">
        <f t="shared" si="46"/>
        <v>60</v>
      </c>
    </row>
    <row r="512" spans="7:16" ht="15.6" x14ac:dyDescent="0.3">
      <c r="G512" s="5"/>
      <c r="H512" s="18"/>
      <c r="I512" s="17">
        <f t="shared" si="47"/>
        <v>60</v>
      </c>
      <c r="J512" s="16">
        <f t="shared" si="48"/>
        <v>60</v>
      </c>
      <c r="L512" s="3">
        <f t="shared" si="44"/>
        <v>0</v>
      </c>
      <c r="M512" s="20" t="b">
        <f t="shared" si="49"/>
        <v>1</v>
      </c>
      <c r="O512" s="6" t="str">
        <f t="shared" si="45"/>
        <v>Open</v>
      </c>
      <c r="P512" s="3">
        <f t="shared" si="46"/>
        <v>60</v>
      </c>
    </row>
    <row r="513" spans="7:16" ht="15.6" x14ac:dyDescent="0.3">
      <c r="G513" s="5"/>
      <c r="H513" s="18"/>
      <c r="I513" s="17">
        <f t="shared" si="47"/>
        <v>60</v>
      </c>
      <c r="J513" s="16">
        <f t="shared" si="48"/>
        <v>60</v>
      </c>
      <c r="L513" s="3">
        <f t="shared" si="44"/>
        <v>0</v>
      </c>
      <c r="M513" s="20" t="b">
        <f t="shared" si="49"/>
        <v>1</v>
      </c>
      <c r="O513" s="6" t="str">
        <f t="shared" si="45"/>
        <v>Open</v>
      </c>
      <c r="P513" s="3">
        <f t="shared" si="46"/>
        <v>60</v>
      </c>
    </row>
    <row r="514" spans="7:16" ht="15.6" x14ac:dyDescent="0.3">
      <c r="G514" s="5"/>
      <c r="H514" s="18"/>
      <c r="I514" s="17">
        <f t="shared" si="47"/>
        <v>60</v>
      </c>
      <c r="J514" s="16">
        <f t="shared" si="48"/>
        <v>60</v>
      </c>
      <c r="L514" s="3">
        <f t="shared" ref="L514:L577" si="50">K514-SUM(Q514:BX514)</f>
        <v>0</v>
      </c>
      <c r="M514" s="20" t="b">
        <f t="shared" si="49"/>
        <v>1</v>
      </c>
      <c r="O514" s="6" t="str">
        <f t="shared" ref="O514:O577" si="51">IF(COUNTA(P514:BW514)=COLUMNS(P514:BW514),"Closed","Open")</f>
        <v>Open</v>
      </c>
      <c r="P514" s="3">
        <f t="shared" ref="P514:P577" si="52">60-COUNT(Q514:BX514)</f>
        <v>60</v>
      </c>
    </row>
    <row r="515" spans="7:16" ht="15.6" x14ac:dyDescent="0.3">
      <c r="G515" s="5"/>
      <c r="H515" s="18"/>
      <c r="I515" s="17">
        <f t="shared" si="47"/>
        <v>60</v>
      </c>
      <c r="J515" s="16">
        <f t="shared" si="48"/>
        <v>60</v>
      </c>
      <c r="L515" s="3">
        <f t="shared" si="50"/>
        <v>0</v>
      </c>
      <c r="M515" s="20" t="b">
        <f t="shared" si="49"/>
        <v>1</v>
      </c>
      <c r="O515" s="6" t="str">
        <f t="shared" si="51"/>
        <v>Open</v>
      </c>
      <c r="P515" s="3">
        <f t="shared" si="52"/>
        <v>60</v>
      </c>
    </row>
    <row r="516" spans="7:16" ht="15.6" x14ac:dyDescent="0.3">
      <c r="G516" s="5"/>
      <c r="H516" s="18"/>
      <c r="I516" s="17">
        <f t="shared" si="47"/>
        <v>60</v>
      </c>
      <c r="J516" s="16">
        <f t="shared" si="48"/>
        <v>60</v>
      </c>
      <c r="L516" s="3">
        <f t="shared" si="50"/>
        <v>0</v>
      </c>
      <c r="M516" s="20" t="b">
        <f t="shared" si="49"/>
        <v>1</v>
      </c>
      <c r="O516" s="6" t="str">
        <f t="shared" si="51"/>
        <v>Open</v>
      </c>
      <c r="P516" s="3">
        <f t="shared" si="52"/>
        <v>60</v>
      </c>
    </row>
    <row r="517" spans="7:16" ht="15.6" x14ac:dyDescent="0.3">
      <c r="G517" s="5"/>
      <c r="H517" s="18"/>
      <c r="I517" s="17">
        <f t="shared" si="47"/>
        <v>60</v>
      </c>
      <c r="J517" s="16">
        <f t="shared" si="48"/>
        <v>60</v>
      </c>
      <c r="L517" s="3">
        <f t="shared" si="50"/>
        <v>0</v>
      </c>
      <c r="M517" s="20" t="b">
        <f t="shared" si="49"/>
        <v>1</v>
      </c>
      <c r="O517" s="6" t="str">
        <f t="shared" si="51"/>
        <v>Open</v>
      </c>
      <c r="P517" s="3">
        <f t="shared" si="52"/>
        <v>60</v>
      </c>
    </row>
    <row r="518" spans="7:16" ht="15.6" x14ac:dyDescent="0.3">
      <c r="G518" s="5"/>
      <c r="H518" s="18"/>
      <c r="I518" s="17">
        <f t="shared" si="47"/>
        <v>60</v>
      </c>
      <c r="J518" s="16">
        <f t="shared" si="48"/>
        <v>60</v>
      </c>
      <c r="L518" s="3">
        <f t="shared" si="50"/>
        <v>0</v>
      </c>
      <c r="M518" s="20" t="b">
        <f t="shared" si="49"/>
        <v>1</v>
      </c>
      <c r="O518" s="6" t="str">
        <f t="shared" si="51"/>
        <v>Open</v>
      </c>
      <c r="P518" s="3">
        <f t="shared" si="52"/>
        <v>60</v>
      </c>
    </row>
    <row r="519" spans="7:16" ht="15.6" x14ac:dyDescent="0.3">
      <c r="G519" s="5"/>
      <c r="H519" s="18"/>
      <c r="I519" s="18"/>
      <c r="J519" s="16">
        <f t="shared" si="48"/>
        <v>0</v>
      </c>
      <c r="L519" s="3">
        <f t="shared" si="50"/>
        <v>0</v>
      </c>
      <c r="M519" s="20" t="b">
        <f t="shared" si="49"/>
        <v>0</v>
      </c>
      <c r="O519" s="6" t="str">
        <f t="shared" si="51"/>
        <v>Open</v>
      </c>
      <c r="P519" s="3">
        <f t="shared" si="52"/>
        <v>60</v>
      </c>
    </row>
    <row r="520" spans="7:16" ht="15.6" x14ac:dyDescent="0.3">
      <c r="G520" s="5"/>
      <c r="H520" s="18"/>
      <c r="I520" s="18"/>
      <c r="J520" s="16">
        <f t="shared" si="48"/>
        <v>0</v>
      </c>
      <c r="L520" s="3">
        <f t="shared" si="50"/>
        <v>0</v>
      </c>
      <c r="M520" s="20" t="b">
        <f t="shared" si="49"/>
        <v>0</v>
      </c>
      <c r="O520" s="6" t="str">
        <f t="shared" si="51"/>
        <v>Open</v>
      </c>
      <c r="P520" s="3">
        <f t="shared" si="52"/>
        <v>60</v>
      </c>
    </row>
    <row r="521" spans="7:16" ht="15.6" x14ac:dyDescent="0.3">
      <c r="G521" s="5"/>
      <c r="H521" s="18"/>
      <c r="I521" s="18"/>
      <c r="J521" s="16">
        <f t="shared" si="48"/>
        <v>0</v>
      </c>
      <c r="L521" s="3">
        <f t="shared" si="50"/>
        <v>0</v>
      </c>
      <c r="M521" s="20" t="b">
        <f t="shared" si="49"/>
        <v>0</v>
      </c>
      <c r="O521" s="6" t="str">
        <f t="shared" si="51"/>
        <v>Open</v>
      </c>
      <c r="P521" s="3">
        <f t="shared" si="52"/>
        <v>60</v>
      </c>
    </row>
    <row r="522" spans="7:16" ht="15.6" x14ac:dyDescent="0.3">
      <c r="G522" s="5"/>
      <c r="H522" s="18"/>
      <c r="I522" s="18"/>
      <c r="J522" s="16">
        <f t="shared" si="48"/>
        <v>0</v>
      </c>
      <c r="L522" s="3">
        <f t="shared" si="50"/>
        <v>0</v>
      </c>
      <c r="M522" s="20" t="b">
        <f t="shared" si="49"/>
        <v>0</v>
      </c>
      <c r="O522" s="6" t="str">
        <f t="shared" si="51"/>
        <v>Open</v>
      </c>
      <c r="P522" s="3">
        <f t="shared" si="52"/>
        <v>60</v>
      </c>
    </row>
    <row r="523" spans="7:16" ht="15.6" x14ac:dyDescent="0.3">
      <c r="G523" s="5"/>
      <c r="H523" s="18"/>
      <c r="I523" s="18"/>
      <c r="J523" s="16">
        <f t="shared" si="48"/>
        <v>0</v>
      </c>
      <c r="L523" s="3">
        <f t="shared" si="50"/>
        <v>0</v>
      </c>
      <c r="M523" s="20" t="b">
        <f t="shared" si="49"/>
        <v>0</v>
      </c>
      <c r="O523" s="6" t="str">
        <f t="shared" si="51"/>
        <v>Open</v>
      </c>
      <c r="P523" s="3">
        <f t="shared" si="52"/>
        <v>60</v>
      </c>
    </row>
    <row r="524" spans="7:16" ht="15.6" x14ac:dyDescent="0.3">
      <c r="G524" s="5"/>
      <c r="H524" s="18"/>
      <c r="I524" s="18"/>
      <c r="J524" s="16">
        <f t="shared" si="48"/>
        <v>0</v>
      </c>
      <c r="L524" s="3">
        <f t="shared" si="50"/>
        <v>0</v>
      </c>
      <c r="M524" s="20" t="b">
        <f t="shared" si="49"/>
        <v>0</v>
      </c>
      <c r="O524" s="6" t="str">
        <f t="shared" si="51"/>
        <v>Open</v>
      </c>
      <c r="P524" s="3">
        <f t="shared" si="52"/>
        <v>60</v>
      </c>
    </row>
    <row r="525" spans="7:16" ht="15.6" x14ac:dyDescent="0.3">
      <c r="G525" s="5"/>
      <c r="H525" s="18"/>
      <c r="I525" s="18"/>
      <c r="J525" s="16">
        <f t="shared" si="48"/>
        <v>0</v>
      </c>
      <c r="L525" s="3">
        <f t="shared" si="50"/>
        <v>0</v>
      </c>
      <c r="M525" s="20" t="b">
        <f t="shared" si="49"/>
        <v>0</v>
      </c>
      <c r="O525" s="6" t="str">
        <f t="shared" si="51"/>
        <v>Open</v>
      </c>
      <c r="P525" s="3">
        <f t="shared" si="52"/>
        <v>60</v>
      </c>
    </row>
    <row r="526" spans="7:16" ht="15.6" x14ac:dyDescent="0.3">
      <c r="G526" s="5"/>
      <c r="H526" s="18"/>
      <c r="I526" s="18"/>
      <c r="J526" s="16">
        <f t="shared" si="48"/>
        <v>0</v>
      </c>
      <c r="L526" s="3">
        <f t="shared" si="50"/>
        <v>0</v>
      </c>
      <c r="M526" s="20" t="b">
        <f t="shared" si="49"/>
        <v>0</v>
      </c>
      <c r="O526" s="6" t="str">
        <f t="shared" si="51"/>
        <v>Open</v>
      </c>
      <c r="P526" s="3">
        <f t="shared" si="52"/>
        <v>60</v>
      </c>
    </row>
    <row r="527" spans="7:16" ht="15.6" x14ac:dyDescent="0.3">
      <c r="G527" s="5"/>
      <c r="H527" s="18"/>
      <c r="I527" s="18"/>
      <c r="J527" s="16">
        <f t="shared" si="48"/>
        <v>0</v>
      </c>
      <c r="L527" s="3">
        <f t="shared" si="50"/>
        <v>0</v>
      </c>
      <c r="M527" s="20" t="b">
        <f t="shared" si="49"/>
        <v>0</v>
      </c>
      <c r="O527" s="6" t="str">
        <f t="shared" si="51"/>
        <v>Open</v>
      </c>
      <c r="P527" s="3">
        <f t="shared" si="52"/>
        <v>60</v>
      </c>
    </row>
    <row r="528" spans="7:16" ht="15.6" x14ac:dyDescent="0.3">
      <c r="G528" s="5"/>
      <c r="H528" s="18"/>
      <c r="I528" s="18"/>
      <c r="J528" s="16">
        <f t="shared" si="48"/>
        <v>0</v>
      </c>
      <c r="L528" s="3">
        <f t="shared" si="50"/>
        <v>0</v>
      </c>
      <c r="M528" s="20" t="b">
        <f t="shared" si="49"/>
        <v>0</v>
      </c>
      <c r="O528" s="6" t="str">
        <f t="shared" si="51"/>
        <v>Open</v>
      </c>
      <c r="P528" s="3">
        <f t="shared" si="52"/>
        <v>60</v>
      </c>
    </row>
    <row r="529" spans="7:16" ht="15.6" x14ac:dyDescent="0.3">
      <c r="G529" s="5"/>
      <c r="H529" s="18"/>
      <c r="I529" s="18"/>
      <c r="J529" s="16">
        <f t="shared" si="48"/>
        <v>0</v>
      </c>
      <c r="L529" s="3">
        <f t="shared" si="50"/>
        <v>0</v>
      </c>
      <c r="M529" s="20" t="b">
        <f t="shared" si="49"/>
        <v>0</v>
      </c>
      <c r="O529" s="6" t="str">
        <f t="shared" si="51"/>
        <v>Open</v>
      </c>
      <c r="P529" s="3">
        <f t="shared" si="52"/>
        <v>60</v>
      </c>
    </row>
    <row r="530" spans="7:16" ht="15.6" x14ac:dyDescent="0.3">
      <c r="G530" s="5"/>
      <c r="H530" s="18"/>
      <c r="I530" s="18"/>
      <c r="J530" s="16">
        <f t="shared" ref="J530:J593" si="53">I530-H530</f>
        <v>0</v>
      </c>
      <c r="L530" s="3">
        <f t="shared" si="50"/>
        <v>0</v>
      </c>
      <c r="M530" s="20" t="b">
        <f t="shared" ref="M530:M593" si="54">J530=P530</f>
        <v>0</v>
      </c>
      <c r="O530" s="6" t="str">
        <f t="shared" si="51"/>
        <v>Open</v>
      </c>
      <c r="P530" s="3">
        <f t="shared" si="52"/>
        <v>60</v>
      </c>
    </row>
    <row r="531" spans="7:16" ht="15.6" x14ac:dyDescent="0.3">
      <c r="G531" s="5"/>
      <c r="H531" s="18"/>
      <c r="I531" s="18"/>
      <c r="J531" s="16">
        <f t="shared" si="53"/>
        <v>0</v>
      </c>
      <c r="L531" s="3">
        <f t="shared" si="50"/>
        <v>0</v>
      </c>
      <c r="M531" s="20" t="b">
        <f t="shared" si="54"/>
        <v>0</v>
      </c>
      <c r="O531" s="6" t="str">
        <f t="shared" si="51"/>
        <v>Open</v>
      </c>
      <c r="P531" s="3">
        <f t="shared" si="52"/>
        <v>60</v>
      </c>
    </row>
    <row r="532" spans="7:16" ht="15.6" x14ac:dyDescent="0.3">
      <c r="G532" s="5"/>
      <c r="H532" s="18"/>
      <c r="I532" s="18"/>
      <c r="J532" s="16">
        <f t="shared" si="53"/>
        <v>0</v>
      </c>
      <c r="L532" s="3">
        <f t="shared" si="50"/>
        <v>0</v>
      </c>
      <c r="M532" s="20" t="b">
        <f t="shared" si="54"/>
        <v>0</v>
      </c>
      <c r="O532" s="6" t="str">
        <f t="shared" si="51"/>
        <v>Open</v>
      </c>
      <c r="P532" s="3">
        <f t="shared" si="52"/>
        <v>60</v>
      </c>
    </row>
    <row r="533" spans="7:16" ht="15.6" x14ac:dyDescent="0.3">
      <c r="G533" s="5"/>
      <c r="H533" s="18"/>
      <c r="I533" s="18"/>
      <c r="J533" s="16">
        <f t="shared" si="53"/>
        <v>0</v>
      </c>
      <c r="L533" s="3">
        <f t="shared" si="50"/>
        <v>0</v>
      </c>
      <c r="M533" s="20" t="b">
        <f t="shared" si="54"/>
        <v>0</v>
      </c>
      <c r="O533" s="6" t="str">
        <f t="shared" si="51"/>
        <v>Open</v>
      </c>
      <c r="P533" s="3">
        <f t="shared" si="52"/>
        <v>60</v>
      </c>
    </row>
    <row r="534" spans="7:16" ht="15.6" x14ac:dyDescent="0.3">
      <c r="G534" s="5"/>
      <c r="H534" s="18"/>
      <c r="I534" s="18"/>
      <c r="J534" s="16">
        <f t="shared" si="53"/>
        <v>0</v>
      </c>
      <c r="L534" s="3">
        <f t="shared" si="50"/>
        <v>0</v>
      </c>
      <c r="M534" s="20" t="b">
        <f t="shared" si="54"/>
        <v>0</v>
      </c>
      <c r="O534" s="6" t="str">
        <f t="shared" si="51"/>
        <v>Open</v>
      </c>
      <c r="P534" s="3">
        <f t="shared" si="52"/>
        <v>60</v>
      </c>
    </row>
    <row r="535" spans="7:16" ht="15.6" x14ac:dyDescent="0.3">
      <c r="G535" s="5"/>
      <c r="H535" s="18"/>
      <c r="I535" s="18"/>
      <c r="J535" s="16">
        <f t="shared" si="53"/>
        <v>0</v>
      </c>
      <c r="L535" s="3">
        <f t="shared" si="50"/>
        <v>0</v>
      </c>
      <c r="M535" s="20" t="b">
        <f t="shared" si="54"/>
        <v>0</v>
      </c>
      <c r="O535" s="6" t="str">
        <f t="shared" si="51"/>
        <v>Open</v>
      </c>
      <c r="P535" s="3">
        <f t="shared" si="52"/>
        <v>60</v>
      </c>
    </row>
    <row r="536" spans="7:16" ht="15.6" x14ac:dyDescent="0.3">
      <c r="G536" s="5"/>
      <c r="H536" s="18"/>
      <c r="I536" s="18"/>
      <c r="J536" s="16">
        <f t="shared" si="53"/>
        <v>0</v>
      </c>
      <c r="L536" s="3">
        <f t="shared" si="50"/>
        <v>0</v>
      </c>
      <c r="M536" s="20" t="b">
        <f t="shared" si="54"/>
        <v>0</v>
      </c>
      <c r="O536" s="6" t="str">
        <f t="shared" si="51"/>
        <v>Open</v>
      </c>
      <c r="P536" s="3">
        <f t="shared" si="52"/>
        <v>60</v>
      </c>
    </row>
    <row r="537" spans="7:16" ht="15.6" x14ac:dyDescent="0.3">
      <c r="G537" s="5"/>
      <c r="H537" s="18"/>
      <c r="I537" s="18"/>
      <c r="J537" s="16">
        <f t="shared" si="53"/>
        <v>0</v>
      </c>
      <c r="L537" s="3">
        <f t="shared" si="50"/>
        <v>0</v>
      </c>
      <c r="M537" s="20" t="b">
        <f t="shared" si="54"/>
        <v>0</v>
      </c>
      <c r="O537" s="6" t="str">
        <f t="shared" si="51"/>
        <v>Open</v>
      </c>
      <c r="P537" s="3">
        <f t="shared" si="52"/>
        <v>60</v>
      </c>
    </row>
    <row r="538" spans="7:16" ht="15.6" x14ac:dyDescent="0.3">
      <c r="G538" s="5"/>
      <c r="H538" s="18"/>
      <c r="I538" s="18"/>
      <c r="J538" s="16">
        <f t="shared" si="53"/>
        <v>0</v>
      </c>
      <c r="L538" s="3">
        <f t="shared" si="50"/>
        <v>0</v>
      </c>
      <c r="M538" s="20" t="b">
        <f t="shared" si="54"/>
        <v>0</v>
      </c>
      <c r="O538" s="6" t="str">
        <f t="shared" si="51"/>
        <v>Open</v>
      </c>
      <c r="P538" s="3">
        <f t="shared" si="52"/>
        <v>60</v>
      </c>
    </row>
    <row r="539" spans="7:16" ht="15.6" x14ac:dyDescent="0.3">
      <c r="G539" s="5"/>
      <c r="H539" s="18"/>
      <c r="I539" s="18"/>
      <c r="J539" s="16">
        <f t="shared" si="53"/>
        <v>0</v>
      </c>
      <c r="L539" s="3">
        <f t="shared" si="50"/>
        <v>0</v>
      </c>
      <c r="M539" s="20" t="b">
        <f t="shared" si="54"/>
        <v>0</v>
      </c>
      <c r="O539" s="6" t="str">
        <f t="shared" si="51"/>
        <v>Open</v>
      </c>
      <c r="P539" s="3">
        <f t="shared" si="52"/>
        <v>60</v>
      </c>
    </row>
    <row r="540" spans="7:16" ht="15.6" x14ac:dyDescent="0.3">
      <c r="G540" s="5"/>
      <c r="H540" s="18"/>
      <c r="I540" s="18"/>
      <c r="J540" s="16">
        <f t="shared" si="53"/>
        <v>0</v>
      </c>
      <c r="L540" s="3">
        <f t="shared" si="50"/>
        <v>0</v>
      </c>
      <c r="M540" s="20" t="b">
        <f t="shared" si="54"/>
        <v>0</v>
      </c>
      <c r="O540" s="6" t="str">
        <f t="shared" si="51"/>
        <v>Open</v>
      </c>
      <c r="P540" s="3">
        <f t="shared" si="52"/>
        <v>60</v>
      </c>
    </row>
    <row r="541" spans="7:16" ht="15.6" x14ac:dyDescent="0.3">
      <c r="G541" s="5"/>
      <c r="H541" s="18"/>
      <c r="I541" s="18"/>
      <c r="J541" s="16">
        <f t="shared" si="53"/>
        <v>0</v>
      </c>
      <c r="L541" s="3">
        <f t="shared" si="50"/>
        <v>0</v>
      </c>
      <c r="M541" s="20" t="b">
        <f t="shared" si="54"/>
        <v>0</v>
      </c>
      <c r="O541" s="6" t="str">
        <f t="shared" si="51"/>
        <v>Open</v>
      </c>
      <c r="P541" s="3">
        <f t="shared" si="52"/>
        <v>60</v>
      </c>
    </row>
    <row r="542" spans="7:16" ht="15.6" x14ac:dyDescent="0.3">
      <c r="G542" s="5"/>
      <c r="H542" s="18"/>
      <c r="I542" s="18"/>
      <c r="J542" s="16">
        <f t="shared" si="53"/>
        <v>0</v>
      </c>
      <c r="L542" s="3">
        <f t="shared" si="50"/>
        <v>0</v>
      </c>
      <c r="M542" s="20" t="b">
        <f t="shared" si="54"/>
        <v>0</v>
      </c>
      <c r="O542" s="6" t="str">
        <f t="shared" si="51"/>
        <v>Open</v>
      </c>
      <c r="P542" s="3">
        <f t="shared" si="52"/>
        <v>60</v>
      </c>
    </row>
    <row r="543" spans="7:16" ht="15.6" x14ac:dyDescent="0.3">
      <c r="G543" s="5"/>
      <c r="H543" s="18"/>
      <c r="I543" s="18"/>
      <c r="J543" s="16">
        <f t="shared" si="53"/>
        <v>0</v>
      </c>
      <c r="L543" s="3">
        <f t="shared" si="50"/>
        <v>0</v>
      </c>
      <c r="M543" s="20" t="b">
        <f t="shared" si="54"/>
        <v>0</v>
      </c>
      <c r="O543" s="6" t="str">
        <f t="shared" si="51"/>
        <v>Open</v>
      </c>
      <c r="P543" s="3">
        <f t="shared" si="52"/>
        <v>60</v>
      </c>
    </row>
    <row r="544" spans="7:16" ht="15.6" x14ac:dyDescent="0.3">
      <c r="G544" s="5"/>
      <c r="H544" s="18"/>
      <c r="I544" s="18"/>
      <c r="J544" s="16">
        <f t="shared" si="53"/>
        <v>0</v>
      </c>
      <c r="L544" s="3">
        <f t="shared" si="50"/>
        <v>0</v>
      </c>
      <c r="M544" s="20" t="b">
        <f t="shared" si="54"/>
        <v>0</v>
      </c>
      <c r="O544" s="6" t="str">
        <f t="shared" si="51"/>
        <v>Open</v>
      </c>
      <c r="P544" s="3">
        <f t="shared" si="52"/>
        <v>60</v>
      </c>
    </row>
    <row r="545" spans="7:16" ht="15.6" x14ac:dyDescent="0.3">
      <c r="G545" s="5"/>
      <c r="H545" s="18"/>
      <c r="I545" s="18"/>
      <c r="J545" s="16">
        <f t="shared" si="53"/>
        <v>0</v>
      </c>
      <c r="L545" s="3">
        <f t="shared" si="50"/>
        <v>0</v>
      </c>
      <c r="M545" s="20" t="b">
        <f t="shared" si="54"/>
        <v>0</v>
      </c>
      <c r="O545" s="6" t="str">
        <f t="shared" si="51"/>
        <v>Open</v>
      </c>
      <c r="P545" s="3">
        <f t="shared" si="52"/>
        <v>60</v>
      </c>
    </row>
    <row r="546" spans="7:16" ht="15.6" x14ac:dyDescent="0.3">
      <c r="G546" s="5"/>
      <c r="H546" s="18"/>
      <c r="I546" s="18"/>
      <c r="J546" s="16">
        <f t="shared" si="53"/>
        <v>0</v>
      </c>
      <c r="L546" s="3">
        <f t="shared" si="50"/>
        <v>0</v>
      </c>
      <c r="M546" s="20" t="b">
        <f t="shared" si="54"/>
        <v>0</v>
      </c>
      <c r="O546" s="6" t="str">
        <f t="shared" si="51"/>
        <v>Open</v>
      </c>
      <c r="P546" s="3">
        <f t="shared" si="52"/>
        <v>60</v>
      </c>
    </row>
    <row r="547" spans="7:16" ht="15.6" x14ac:dyDescent="0.3">
      <c r="G547" s="5"/>
      <c r="H547" s="18"/>
      <c r="I547" s="18"/>
      <c r="J547" s="16">
        <f t="shared" si="53"/>
        <v>0</v>
      </c>
      <c r="L547" s="3">
        <f t="shared" si="50"/>
        <v>0</v>
      </c>
      <c r="M547" s="20" t="b">
        <f t="shared" si="54"/>
        <v>0</v>
      </c>
      <c r="O547" s="6" t="str">
        <f t="shared" si="51"/>
        <v>Open</v>
      </c>
      <c r="P547" s="3">
        <f t="shared" si="52"/>
        <v>60</v>
      </c>
    </row>
    <row r="548" spans="7:16" ht="15.6" x14ac:dyDescent="0.3">
      <c r="G548" s="5"/>
      <c r="H548" s="18"/>
      <c r="I548" s="18"/>
      <c r="J548" s="16">
        <f t="shared" si="53"/>
        <v>0</v>
      </c>
      <c r="L548" s="3">
        <f t="shared" si="50"/>
        <v>0</v>
      </c>
      <c r="M548" s="20" t="b">
        <f t="shared" si="54"/>
        <v>0</v>
      </c>
      <c r="O548" s="6" t="str">
        <f t="shared" si="51"/>
        <v>Open</v>
      </c>
      <c r="P548" s="3">
        <f t="shared" si="52"/>
        <v>60</v>
      </c>
    </row>
    <row r="549" spans="7:16" ht="15.6" x14ac:dyDescent="0.3">
      <c r="G549" s="5"/>
      <c r="H549" s="18"/>
      <c r="I549" s="18"/>
      <c r="J549" s="16">
        <f t="shared" si="53"/>
        <v>0</v>
      </c>
      <c r="L549" s="3">
        <f t="shared" si="50"/>
        <v>0</v>
      </c>
      <c r="M549" s="20" t="b">
        <f t="shared" si="54"/>
        <v>0</v>
      </c>
      <c r="O549" s="6" t="str">
        <f t="shared" si="51"/>
        <v>Open</v>
      </c>
      <c r="P549" s="3">
        <f t="shared" si="52"/>
        <v>60</v>
      </c>
    </row>
    <row r="550" spans="7:16" ht="15.6" x14ac:dyDescent="0.3">
      <c r="G550" s="5"/>
      <c r="H550" s="18"/>
      <c r="I550" s="18"/>
      <c r="J550" s="16">
        <f t="shared" si="53"/>
        <v>0</v>
      </c>
      <c r="L550" s="3">
        <f t="shared" si="50"/>
        <v>0</v>
      </c>
      <c r="M550" s="20" t="b">
        <f t="shared" si="54"/>
        <v>0</v>
      </c>
      <c r="O550" s="6" t="str">
        <f t="shared" si="51"/>
        <v>Open</v>
      </c>
      <c r="P550" s="3">
        <f t="shared" si="52"/>
        <v>60</v>
      </c>
    </row>
    <row r="551" spans="7:16" ht="15.6" x14ac:dyDescent="0.3">
      <c r="G551" s="5"/>
      <c r="H551" s="18"/>
      <c r="I551" s="18"/>
      <c r="J551" s="16">
        <f t="shared" si="53"/>
        <v>0</v>
      </c>
      <c r="L551" s="3">
        <f t="shared" si="50"/>
        <v>0</v>
      </c>
      <c r="M551" s="20" t="b">
        <f t="shared" si="54"/>
        <v>0</v>
      </c>
      <c r="O551" s="6" t="str">
        <f t="shared" si="51"/>
        <v>Open</v>
      </c>
      <c r="P551" s="3">
        <f t="shared" si="52"/>
        <v>60</v>
      </c>
    </row>
    <row r="552" spans="7:16" ht="15.6" x14ac:dyDescent="0.3">
      <c r="G552" s="5"/>
      <c r="H552" s="18"/>
      <c r="I552" s="18"/>
      <c r="J552" s="16">
        <f t="shared" si="53"/>
        <v>0</v>
      </c>
      <c r="L552" s="3">
        <f t="shared" si="50"/>
        <v>0</v>
      </c>
      <c r="M552" s="20" t="b">
        <f t="shared" si="54"/>
        <v>0</v>
      </c>
      <c r="O552" s="6" t="str">
        <f t="shared" si="51"/>
        <v>Open</v>
      </c>
      <c r="P552" s="3">
        <f t="shared" si="52"/>
        <v>60</v>
      </c>
    </row>
    <row r="553" spans="7:16" ht="15.6" x14ac:dyDescent="0.3">
      <c r="G553" s="5"/>
      <c r="H553" s="18"/>
      <c r="I553" s="18"/>
      <c r="J553" s="16">
        <f t="shared" si="53"/>
        <v>0</v>
      </c>
      <c r="L553" s="3">
        <f t="shared" si="50"/>
        <v>0</v>
      </c>
      <c r="M553" s="20" t="b">
        <f t="shared" si="54"/>
        <v>0</v>
      </c>
      <c r="O553" s="6" t="str">
        <f t="shared" si="51"/>
        <v>Open</v>
      </c>
      <c r="P553" s="3">
        <f t="shared" si="52"/>
        <v>60</v>
      </c>
    </row>
    <row r="554" spans="7:16" ht="15.6" x14ac:dyDescent="0.3">
      <c r="G554" s="5"/>
      <c r="H554" s="18"/>
      <c r="I554" s="18"/>
      <c r="J554" s="16">
        <f t="shared" si="53"/>
        <v>0</v>
      </c>
      <c r="L554" s="3">
        <f t="shared" si="50"/>
        <v>0</v>
      </c>
      <c r="M554" s="20" t="b">
        <f t="shared" si="54"/>
        <v>0</v>
      </c>
      <c r="O554" s="6" t="str">
        <f t="shared" si="51"/>
        <v>Open</v>
      </c>
      <c r="P554" s="3">
        <f t="shared" si="52"/>
        <v>60</v>
      </c>
    </row>
    <row r="555" spans="7:16" ht="15.6" x14ac:dyDescent="0.3">
      <c r="G555" s="5"/>
      <c r="H555" s="18"/>
      <c r="I555" s="18"/>
      <c r="J555" s="16">
        <f t="shared" si="53"/>
        <v>0</v>
      </c>
      <c r="L555" s="3">
        <f t="shared" si="50"/>
        <v>0</v>
      </c>
      <c r="M555" s="20" t="b">
        <f t="shared" si="54"/>
        <v>0</v>
      </c>
      <c r="O555" s="6" t="str">
        <f t="shared" si="51"/>
        <v>Open</v>
      </c>
      <c r="P555" s="3">
        <f t="shared" si="52"/>
        <v>60</v>
      </c>
    </row>
    <row r="556" spans="7:16" ht="15.6" x14ac:dyDescent="0.3">
      <c r="G556" s="5"/>
      <c r="H556" s="18"/>
      <c r="I556" s="18"/>
      <c r="J556" s="16">
        <f t="shared" si="53"/>
        <v>0</v>
      </c>
      <c r="L556" s="3">
        <f t="shared" si="50"/>
        <v>0</v>
      </c>
      <c r="M556" s="20" t="b">
        <f t="shared" si="54"/>
        <v>0</v>
      </c>
      <c r="O556" s="6" t="str">
        <f t="shared" si="51"/>
        <v>Open</v>
      </c>
      <c r="P556" s="3">
        <f t="shared" si="52"/>
        <v>60</v>
      </c>
    </row>
    <row r="557" spans="7:16" ht="15.6" x14ac:dyDescent="0.3">
      <c r="G557" s="5"/>
      <c r="H557" s="18"/>
      <c r="I557" s="18"/>
      <c r="J557" s="16">
        <f t="shared" si="53"/>
        <v>0</v>
      </c>
      <c r="L557" s="3">
        <f t="shared" si="50"/>
        <v>0</v>
      </c>
      <c r="M557" s="20" t="b">
        <f t="shared" si="54"/>
        <v>0</v>
      </c>
      <c r="O557" s="6" t="str">
        <f t="shared" si="51"/>
        <v>Open</v>
      </c>
      <c r="P557" s="3">
        <f t="shared" si="52"/>
        <v>60</v>
      </c>
    </row>
    <row r="558" spans="7:16" ht="15.6" x14ac:dyDescent="0.3">
      <c r="G558" s="5"/>
      <c r="H558" s="18"/>
      <c r="I558" s="18"/>
      <c r="J558" s="16">
        <f t="shared" si="53"/>
        <v>0</v>
      </c>
      <c r="L558" s="3">
        <f t="shared" si="50"/>
        <v>0</v>
      </c>
      <c r="M558" s="20" t="b">
        <f t="shared" si="54"/>
        <v>0</v>
      </c>
      <c r="O558" s="6" t="str">
        <f t="shared" si="51"/>
        <v>Open</v>
      </c>
      <c r="P558" s="3">
        <f t="shared" si="52"/>
        <v>60</v>
      </c>
    </row>
    <row r="559" spans="7:16" ht="15.6" x14ac:dyDescent="0.3">
      <c r="G559" s="5"/>
      <c r="H559" s="18"/>
      <c r="I559" s="18"/>
      <c r="J559" s="16">
        <f t="shared" si="53"/>
        <v>0</v>
      </c>
      <c r="L559" s="3">
        <f t="shared" si="50"/>
        <v>0</v>
      </c>
      <c r="M559" s="20" t="b">
        <f t="shared" si="54"/>
        <v>0</v>
      </c>
      <c r="O559" s="6" t="str">
        <f t="shared" si="51"/>
        <v>Open</v>
      </c>
      <c r="P559" s="3">
        <f t="shared" si="52"/>
        <v>60</v>
      </c>
    </row>
    <row r="560" spans="7:16" ht="15.6" x14ac:dyDescent="0.3">
      <c r="G560" s="5"/>
      <c r="H560" s="18"/>
      <c r="I560" s="18"/>
      <c r="J560" s="16">
        <f t="shared" si="53"/>
        <v>0</v>
      </c>
      <c r="L560" s="3">
        <f t="shared" si="50"/>
        <v>0</v>
      </c>
      <c r="M560" s="20" t="b">
        <f t="shared" si="54"/>
        <v>0</v>
      </c>
      <c r="O560" s="6" t="str">
        <f t="shared" si="51"/>
        <v>Open</v>
      </c>
      <c r="P560" s="3">
        <f t="shared" si="52"/>
        <v>60</v>
      </c>
    </row>
    <row r="561" spans="7:16" ht="15.6" x14ac:dyDescent="0.3">
      <c r="G561" s="5"/>
      <c r="H561" s="18"/>
      <c r="I561" s="18"/>
      <c r="J561" s="16">
        <f t="shared" si="53"/>
        <v>0</v>
      </c>
      <c r="L561" s="3">
        <f t="shared" si="50"/>
        <v>0</v>
      </c>
      <c r="M561" s="20" t="b">
        <f t="shared" si="54"/>
        <v>0</v>
      </c>
      <c r="O561" s="6" t="str">
        <f t="shared" si="51"/>
        <v>Open</v>
      </c>
      <c r="P561" s="3">
        <f t="shared" si="52"/>
        <v>60</v>
      </c>
    </row>
    <row r="562" spans="7:16" ht="15.6" x14ac:dyDescent="0.3">
      <c r="G562" s="5"/>
      <c r="H562" s="18"/>
      <c r="I562" s="18"/>
      <c r="J562" s="16">
        <f t="shared" si="53"/>
        <v>0</v>
      </c>
      <c r="L562" s="3">
        <f t="shared" si="50"/>
        <v>0</v>
      </c>
      <c r="M562" s="20" t="b">
        <f t="shared" si="54"/>
        <v>0</v>
      </c>
      <c r="O562" s="6" t="str">
        <f t="shared" si="51"/>
        <v>Open</v>
      </c>
      <c r="P562" s="3">
        <f t="shared" si="52"/>
        <v>60</v>
      </c>
    </row>
    <row r="563" spans="7:16" ht="15.6" x14ac:dyDescent="0.3">
      <c r="G563" s="5"/>
      <c r="H563" s="18"/>
      <c r="I563" s="18"/>
      <c r="J563" s="16">
        <f t="shared" si="53"/>
        <v>0</v>
      </c>
      <c r="L563" s="3">
        <f t="shared" si="50"/>
        <v>0</v>
      </c>
      <c r="M563" s="20" t="b">
        <f t="shared" si="54"/>
        <v>0</v>
      </c>
      <c r="O563" s="6" t="str">
        <f t="shared" si="51"/>
        <v>Open</v>
      </c>
      <c r="P563" s="3">
        <f t="shared" si="52"/>
        <v>60</v>
      </c>
    </row>
    <row r="564" spans="7:16" ht="15.6" x14ac:dyDescent="0.3">
      <c r="G564" s="5"/>
      <c r="H564" s="18"/>
      <c r="I564" s="18"/>
      <c r="J564" s="16">
        <f t="shared" si="53"/>
        <v>0</v>
      </c>
      <c r="L564" s="3">
        <f t="shared" si="50"/>
        <v>0</v>
      </c>
      <c r="M564" s="20" t="b">
        <f t="shared" si="54"/>
        <v>0</v>
      </c>
      <c r="O564" s="6" t="str">
        <f t="shared" si="51"/>
        <v>Open</v>
      </c>
      <c r="P564" s="3">
        <f t="shared" si="52"/>
        <v>60</v>
      </c>
    </row>
    <row r="565" spans="7:16" ht="15.6" x14ac:dyDescent="0.3">
      <c r="G565" s="5"/>
      <c r="H565" s="18"/>
      <c r="I565" s="18"/>
      <c r="J565" s="16">
        <f t="shared" si="53"/>
        <v>0</v>
      </c>
      <c r="L565" s="3">
        <f t="shared" si="50"/>
        <v>0</v>
      </c>
      <c r="M565" s="20" t="b">
        <f t="shared" si="54"/>
        <v>0</v>
      </c>
      <c r="O565" s="6" t="str">
        <f t="shared" si="51"/>
        <v>Open</v>
      </c>
      <c r="P565" s="3">
        <f t="shared" si="52"/>
        <v>60</v>
      </c>
    </row>
    <row r="566" spans="7:16" ht="15.6" x14ac:dyDescent="0.3">
      <c r="G566" s="5"/>
      <c r="H566" s="18"/>
      <c r="I566" s="18"/>
      <c r="J566" s="16">
        <f t="shared" si="53"/>
        <v>0</v>
      </c>
      <c r="L566" s="3">
        <f t="shared" si="50"/>
        <v>0</v>
      </c>
      <c r="M566" s="20" t="b">
        <f t="shared" si="54"/>
        <v>0</v>
      </c>
      <c r="O566" s="6" t="str">
        <f t="shared" si="51"/>
        <v>Open</v>
      </c>
      <c r="P566" s="3">
        <f t="shared" si="52"/>
        <v>60</v>
      </c>
    </row>
    <row r="567" spans="7:16" ht="15.6" x14ac:dyDescent="0.3">
      <c r="G567" s="5"/>
      <c r="H567" s="18"/>
      <c r="I567" s="18"/>
      <c r="J567" s="16">
        <f t="shared" si="53"/>
        <v>0</v>
      </c>
      <c r="L567" s="3">
        <f t="shared" si="50"/>
        <v>0</v>
      </c>
      <c r="M567" s="20" t="b">
        <f t="shared" si="54"/>
        <v>0</v>
      </c>
      <c r="O567" s="6" t="str">
        <f t="shared" si="51"/>
        <v>Open</v>
      </c>
      <c r="P567" s="3">
        <f t="shared" si="52"/>
        <v>60</v>
      </c>
    </row>
    <row r="568" spans="7:16" ht="15.6" x14ac:dyDescent="0.3">
      <c r="G568" s="5"/>
      <c r="H568" s="18"/>
      <c r="I568" s="18"/>
      <c r="J568" s="16">
        <f t="shared" si="53"/>
        <v>0</v>
      </c>
      <c r="L568" s="3">
        <f t="shared" si="50"/>
        <v>0</v>
      </c>
      <c r="M568" s="20" t="b">
        <f t="shared" si="54"/>
        <v>0</v>
      </c>
      <c r="O568" s="6" t="str">
        <f t="shared" si="51"/>
        <v>Open</v>
      </c>
      <c r="P568" s="3">
        <f t="shared" si="52"/>
        <v>60</v>
      </c>
    </row>
    <row r="569" spans="7:16" ht="15.6" x14ac:dyDescent="0.3">
      <c r="G569" s="5"/>
      <c r="H569" s="18"/>
      <c r="I569" s="18"/>
      <c r="J569" s="16">
        <f t="shared" si="53"/>
        <v>0</v>
      </c>
      <c r="L569" s="3">
        <f t="shared" si="50"/>
        <v>0</v>
      </c>
      <c r="M569" s="20" t="b">
        <f t="shared" si="54"/>
        <v>0</v>
      </c>
      <c r="O569" s="6" t="str">
        <f t="shared" si="51"/>
        <v>Open</v>
      </c>
      <c r="P569" s="3">
        <f t="shared" si="52"/>
        <v>60</v>
      </c>
    </row>
    <row r="570" spans="7:16" ht="15.6" x14ac:dyDescent="0.3">
      <c r="G570" s="5"/>
      <c r="H570" s="18"/>
      <c r="I570" s="18"/>
      <c r="J570" s="16">
        <f t="shared" si="53"/>
        <v>0</v>
      </c>
      <c r="L570" s="3">
        <f t="shared" si="50"/>
        <v>0</v>
      </c>
      <c r="M570" s="20" t="b">
        <f t="shared" si="54"/>
        <v>0</v>
      </c>
      <c r="O570" s="6" t="str">
        <f t="shared" si="51"/>
        <v>Open</v>
      </c>
      <c r="P570" s="3">
        <f t="shared" si="52"/>
        <v>60</v>
      </c>
    </row>
    <row r="571" spans="7:16" ht="15.6" x14ac:dyDescent="0.3">
      <c r="G571" s="5"/>
      <c r="H571" s="18"/>
      <c r="I571" s="18"/>
      <c r="J571" s="16">
        <f t="shared" si="53"/>
        <v>0</v>
      </c>
      <c r="L571" s="3">
        <f t="shared" si="50"/>
        <v>0</v>
      </c>
      <c r="M571" s="20" t="b">
        <f t="shared" si="54"/>
        <v>0</v>
      </c>
      <c r="O571" s="6" t="str">
        <f t="shared" si="51"/>
        <v>Open</v>
      </c>
      <c r="P571" s="3">
        <f t="shared" si="52"/>
        <v>60</v>
      </c>
    </row>
    <row r="572" spans="7:16" ht="15.6" x14ac:dyDescent="0.3">
      <c r="G572" s="5"/>
      <c r="H572" s="18"/>
      <c r="I572" s="18"/>
      <c r="J572" s="16">
        <f t="shared" si="53"/>
        <v>0</v>
      </c>
      <c r="L572" s="3">
        <f t="shared" si="50"/>
        <v>0</v>
      </c>
      <c r="M572" s="20" t="b">
        <f t="shared" si="54"/>
        <v>0</v>
      </c>
      <c r="O572" s="6" t="str">
        <f t="shared" si="51"/>
        <v>Open</v>
      </c>
      <c r="P572" s="3">
        <f t="shared" si="52"/>
        <v>60</v>
      </c>
    </row>
    <row r="573" spans="7:16" ht="15.6" x14ac:dyDescent="0.3">
      <c r="G573" s="5"/>
      <c r="H573" s="18"/>
      <c r="I573" s="18"/>
      <c r="J573" s="16">
        <f t="shared" si="53"/>
        <v>0</v>
      </c>
      <c r="L573" s="3">
        <f t="shared" si="50"/>
        <v>0</v>
      </c>
      <c r="M573" s="20" t="b">
        <f t="shared" si="54"/>
        <v>0</v>
      </c>
      <c r="O573" s="6" t="str">
        <f t="shared" si="51"/>
        <v>Open</v>
      </c>
      <c r="P573" s="3">
        <f t="shared" si="52"/>
        <v>60</v>
      </c>
    </row>
    <row r="574" spans="7:16" ht="15.6" x14ac:dyDescent="0.3">
      <c r="G574" s="5"/>
      <c r="H574" s="18"/>
      <c r="I574" s="18"/>
      <c r="J574" s="16">
        <f t="shared" si="53"/>
        <v>0</v>
      </c>
      <c r="L574" s="3">
        <f t="shared" si="50"/>
        <v>0</v>
      </c>
      <c r="M574" s="20" t="b">
        <f t="shared" si="54"/>
        <v>0</v>
      </c>
      <c r="O574" s="6" t="str">
        <f t="shared" si="51"/>
        <v>Open</v>
      </c>
      <c r="P574" s="3">
        <f t="shared" si="52"/>
        <v>60</v>
      </c>
    </row>
    <row r="575" spans="7:16" ht="15.6" x14ac:dyDescent="0.3">
      <c r="G575" s="5"/>
      <c r="H575" s="18"/>
      <c r="I575" s="18"/>
      <c r="J575" s="16">
        <f t="shared" si="53"/>
        <v>0</v>
      </c>
      <c r="L575" s="3">
        <f t="shared" si="50"/>
        <v>0</v>
      </c>
      <c r="M575" s="20" t="b">
        <f t="shared" si="54"/>
        <v>0</v>
      </c>
      <c r="O575" s="6" t="str">
        <f t="shared" si="51"/>
        <v>Open</v>
      </c>
      <c r="P575" s="3">
        <f t="shared" si="52"/>
        <v>60</v>
      </c>
    </row>
    <row r="576" spans="7:16" ht="15.6" x14ac:dyDescent="0.3">
      <c r="G576" s="5"/>
      <c r="H576" s="18"/>
      <c r="I576" s="18"/>
      <c r="J576" s="16">
        <f t="shared" si="53"/>
        <v>0</v>
      </c>
      <c r="L576" s="3">
        <f t="shared" si="50"/>
        <v>0</v>
      </c>
      <c r="M576" s="20" t="b">
        <f t="shared" si="54"/>
        <v>0</v>
      </c>
      <c r="O576" s="6" t="str">
        <f t="shared" si="51"/>
        <v>Open</v>
      </c>
      <c r="P576" s="3">
        <f t="shared" si="52"/>
        <v>60</v>
      </c>
    </row>
    <row r="577" spans="7:16" ht="15.6" x14ac:dyDescent="0.3">
      <c r="G577" s="5"/>
      <c r="H577" s="18"/>
      <c r="I577" s="18"/>
      <c r="J577" s="16">
        <f t="shared" si="53"/>
        <v>0</v>
      </c>
      <c r="L577" s="3">
        <f t="shared" si="50"/>
        <v>0</v>
      </c>
      <c r="M577" s="20" t="b">
        <f t="shared" si="54"/>
        <v>0</v>
      </c>
      <c r="O577" s="6" t="str">
        <f t="shared" si="51"/>
        <v>Open</v>
      </c>
      <c r="P577" s="3">
        <f t="shared" si="52"/>
        <v>60</v>
      </c>
    </row>
    <row r="578" spans="7:16" ht="15.6" x14ac:dyDescent="0.3">
      <c r="G578" s="5"/>
      <c r="H578" s="18"/>
      <c r="I578" s="18"/>
      <c r="J578" s="16">
        <f t="shared" si="53"/>
        <v>0</v>
      </c>
      <c r="L578" s="3">
        <f t="shared" ref="L578:L641" si="55">K578-SUM(Q578:BX578)</f>
        <v>0</v>
      </c>
      <c r="M578" s="20" t="b">
        <f t="shared" si="54"/>
        <v>0</v>
      </c>
      <c r="O578" s="6" t="str">
        <f t="shared" ref="O578:O641" si="56">IF(COUNTA(P578:BW578)=COLUMNS(P578:BW578),"Closed","Open")</f>
        <v>Open</v>
      </c>
      <c r="P578" s="3">
        <f t="shared" ref="P578:P641" si="57">60-COUNT(Q578:BX578)</f>
        <v>60</v>
      </c>
    </row>
    <row r="579" spans="7:16" ht="15.6" x14ac:dyDescent="0.3">
      <c r="G579" s="5"/>
      <c r="H579" s="18"/>
      <c r="I579" s="18"/>
      <c r="J579" s="16">
        <f t="shared" si="53"/>
        <v>0</v>
      </c>
      <c r="L579" s="3">
        <f t="shared" si="55"/>
        <v>0</v>
      </c>
      <c r="M579" s="20" t="b">
        <f t="shared" si="54"/>
        <v>0</v>
      </c>
      <c r="O579" s="6" t="str">
        <f t="shared" si="56"/>
        <v>Open</v>
      </c>
      <c r="P579" s="3">
        <f t="shared" si="57"/>
        <v>60</v>
      </c>
    </row>
    <row r="580" spans="7:16" ht="15.6" x14ac:dyDescent="0.3">
      <c r="G580" s="5"/>
      <c r="H580" s="18"/>
      <c r="I580" s="18"/>
      <c r="J580" s="16">
        <f t="shared" si="53"/>
        <v>0</v>
      </c>
      <c r="L580" s="3">
        <f t="shared" si="55"/>
        <v>0</v>
      </c>
      <c r="M580" s="20" t="b">
        <f t="shared" si="54"/>
        <v>0</v>
      </c>
      <c r="O580" s="6" t="str">
        <f t="shared" si="56"/>
        <v>Open</v>
      </c>
      <c r="P580" s="3">
        <f t="shared" si="57"/>
        <v>60</v>
      </c>
    </row>
    <row r="581" spans="7:16" ht="15.6" x14ac:dyDescent="0.3">
      <c r="G581" s="5"/>
      <c r="H581" s="18"/>
      <c r="I581" s="18"/>
      <c r="J581" s="16">
        <f t="shared" si="53"/>
        <v>0</v>
      </c>
      <c r="L581" s="3">
        <f t="shared" si="55"/>
        <v>0</v>
      </c>
      <c r="M581" s="20" t="b">
        <f t="shared" si="54"/>
        <v>0</v>
      </c>
      <c r="O581" s="6" t="str">
        <f t="shared" si="56"/>
        <v>Open</v>
      </c>
      <c r="P581" s="3">
        <f t="shared" si="57"/>
        <v>60</v>
      </c>
    </row>
    <row r="582" spans="7:16" ht="15.6" x14ac:dyDescent="0.3">
      <c r="G582" s="5"/>
      <c r="H582" s="18"/>
      <c r="I582" s="18"/>
      <c r="J582" s="16">
        <f t="shared" si="53"/>
        <v>0</v>
      </c>
      <c r="L582" s="3">
        <f t="shared" si="55"/>
        <v>0</v>
      </c>
      <c r="M582" s="20" t="b">
        <f t="shared" si="54"/>
        <v>0</v>
      </c>
      <c r="O582" s="6" t="str">
        <f t="shared" si="56"/>
        <v>Open</v>
      </c>
      <c r="P582" s="3">
        <f t="shared" si="57"/>
        <v>60</v>
      </c>
    </row>
    <row r="583" spans="7:16" ht="15.6" x14ac:dyDescent="0.3">
      <c r="G583" s="5"/>
      <c r="H583" s="18"/>
      <c r="I583" s="18"/>
      <c r="J583" s="16">
        <f t="shared" si="53"/>
        <v>0</v>
      </c>
      <c r="L583" s="3">
        <f t="shared" si="55"/>
        <v>0</v>
      </c>
      <c r="M583" s="20" t="b">
        <f t="shared" si="54"/>
        <v>0</v>
      </c>
      <c r="O583" s="6" t="str">
        <f t="shared" si="56"/>
        <v>Open</v>
      </c>
      <c r="P583" s="3">
        <f t="shared" si="57"/>
        <v>60</v>
      </c>
    </row>
    <row r="584" spans="7:16" ht="15.6" x14ac:dyDescent="0.3">
      <c r="G584" s="5"/>
      <c r="H584" s="18"/>
      <c r="I584" s="18"/>
      <c r="J584" s="16">
        <f t="shared" si="53"/>
        <v>0</v>
      </c>
      <c r="L584" s="3">
        <f t="shared" si="55"/>
        <v>0</v>
      </c>
      <c r="M584" s="20" t="b">
        <f t="shared" si="54"/>
        <v>0</v>
      </c>
      <c r="O584" s="6" t="str">
        <f t="shared" si="56"/>
        <v>Open</v>
      </c>
      <c r="P584" s="3">
        <f t="shared" si="57"/>
        <v>60</v>
      </c>
    </row>
    <row r="585" spans="7:16" ht="15.6" x14ac:dyDescent="0.3">
      <c r="G585" s="5"/>
      <c r="H585" s="18"/>
      <c r="I585" s="18"/>
      <c r="J585" s="16">
        <f t="shared" si="53"/>
        <v>0</v>
      </c>
      <c r="L585" s="3">
        <f t="shared" si="55"/>
        <v>0</v>
      </c>
      <c r="M585" s="20" t="b">
        <f t="shared" si="54"/>
        <v>0</v>
      </c>
      <c r="O585" s="6" t="str">
        <f t="shared" si="56"/>
        <v>Open</v>
      </c>
      <c r="P585" s="3">
        <f t="shared" si="57"/>
        <v>60</v>
      </c>
    </row>
    <row r="586" spans="7:16" ht="15.6" x14ac:dyDescent="0.3">
      <c r="G586" s="5"/>
      <c r="H586" s="18"/>
      <c r="I586" s="18"/>
      <c r="J586" s="16">
        <f t="shared" si="53"/>
        <v>0</v>
      </c>
      <c r="L586" s="3">
        <f t="shared" si="55"/>
        <v>0</v>
      </c>
      <c r="M586" s="20" t="b">
        <f t="shared" si="54"/>
        <v>0</v>
      </c>
      <c r="O586" s="6" t="str">
        <f t="shared" si="56"/>
        <v>Open</v>
      </c>
      <c r="P586" s="3">
        <f t="shared" si="57"/>
        <v>60</v>
      </c>
    </row>
    <row r="587" spans="7:16" ht="15.6" x14ac:dyDescent="0.3">
      <c r="G587" s="5"/>
      <c r="H587" s="18"/>
      <c r="I587" s="18"/>
      <c r="J587" s="16">
        <f t="shared" si="53"/>
        <v>0</v>
      </c>
      <c r="L587" s="3">
        <f t="shared" si="55"/>
        <v>0</v>
      </c>
      <c r="M587" s="20" t="b">
        <f t="shared" si="54"/>
        <v>0</v>
      </c>
      <c r="O587" s="6" t="str">
        <f t="shared" si="56"/>
        <v>Open</v>
      </c>
      <c r="P587" s="3">
        <f t="shared" si="57"/>
        <v>60</v>
      </c>
    </row>
    <row r="588" spans="7:16" ht="15.6" x14ac:dyDescent="0.3">
      <c r="G588" s="5"/>
      <c r="H588" s="18"/>
      <c r="I588" s="18"/>
      <c r="J588" s="16">
        <f t="shared" si="53"/>
        <v>0</v>
      </c>
      <c r="L588" s="3">
        <f t="shared" si="55"/>
        <v>0</v>
      </c>
      <c r="M588" s="20" t="b">
        <f t="shared" si="54"/>
        <v>0</v>
      </c>
      <c r="O588" s="6" t="str">
        <f t="shared" si="56"/>
        <v>Open</v>
      </c>
      <c r="P588" s="3">
        <f t="shared" si="57"/>
        <v>60</v>
      </c>
    </row>
    <row r="589" spans="7:16" ht="15.6" x14ac:dyDescent="0.3">
      <c r="G589" s="5"/>
      <c r="H589" s="18"/>
      <c r="I589" s="18"/>
      <c r="J589" s="16">
        <f t="shared" si="53"/>
        <v>0</v>
      </c>
      <c r="L589" s="3">
        <f t="shared" si="55"/>
        <v>0</v>
      </c>
      <c r="M589" s="20" t="b">
        <f t="shared" si="54"/>
        <v>0</v>
      </c>
      <c r="O589" s="6" t="str">
        <f t="shared" si="56"/>
        <v>Open</v>
      </c>
      <c r="P589" s="3">
        <f t="shared" si="57"/>
        <v>60</v>
      </c>
    </row>
    <row r="590" spans="7:16" ht="15.6" x14ac:dyDescent="0.3">
      <c r="G590" s="5"/>
      <c r="H590" s="18"/>
      <c r="I590" s="18"/>
      <c r="J590" s="16">
        <f t="shared" si="53"/>
        <v>0</v>
      </c>
      <c r="L590" s="3">
        <f t="shared" si="55"/>
        <v>0</v>
      </c>
      <c r="M590" s="20" t="b">
        <f t="shared" si="54"/>
        <v>0</v>
      </c>
      <c r="O590" s="6" t="str">
        <f t="shared" si="56"/>
        <v>Open</v>
      </c>
      <c r="P590" s="3">
        <f t="shared" si="57"/>
        <v>60</v>
      </c>
    </row>
    <row r="591" spans="7:16" ht="15.6" x14ac:dyDescent="0.3">
      <c r="G591" s="5"/>
      <c r="H591" s="18"/>
      <c r="I591" s="18"/>
      <c r="J591" s="16">
        <f t="shared" si="53"/>
        <v>0</v>
      </c>
      <c r="L591" s="3">
        <f t="shared" si="55"/>
        <v>0</v>
      </c>
      <c r="M591" s="20" t="b">
        <f t="shared" si="54"/>
        <v>0</v>
      </c>
      <c r="O591" s="6" t="str">
        <f t="shared" si="56"/>
        <v>Open</v>
      </c>
      <c r="P591" s="3">
        <f t="shared" si="57"/>
        <v>60</v>
      </c>
    </row>
    <row r="592" spans="7:16" ht="15.6" x14ac:dyDescent="0.3">
      <c r="G592" s="5"/>
      <c r="H592" s="18"/>
      <c r="I592" s="18"/>
      <c r="J592" s="16">
        <f t="shared" si="53"/>
        <v>0</v>
      </c>
      <c r="L592" s="3">
        <f t="shared" si="55"/>
        <v>0</v>
      </c>
      <c r="M592" s="20" t="b">
        <f t="shared" si="54"/>
        <v>0</v>
      </c>
      <c r="O592" s="6" t="str">
        <f t="shared" si="56"/>
        <v>Open</v>
      </c>
      <c r="P592" s="3">
        <f t="shared" si="57"/>
        <v>60</v>
      </c>
    </row>
    <row r="593" spans="7:16" ht="15.6" x14ac:dyDescent="0.3">
      <c r="G593" s="5"/>
      <c r="H593" s="18"/>
      <c r="I593" s="18"/>
      <c r="J593" s="16">
        <f t="shared" si="53"/>
        <v>0</v>
      </c>
      <c r="L593" s="3">
        <f t="shared" si="55"/>
        <v>0</v>
      </c>
      <c r="M593" s="20" t="b">
        <f t="shared" si="54"/>
        <v>0</v>
      </c>
      <c r="O593" s="6" t="str">
        <f t="shared" si="56"/>
        <v>Open</v>
      </c>
      <c r="P593" s="3">
        <f t="shared" si="57"/>
        <v>60</v>
      </c>
    </row>
    <row r="594" spans="7:16" ht="15.6" x14ac:dyDescent="0.3">
      <c r="G594" s="5"/>
      <c r="H594" s="18"/>
      <c r="I594" s="18"/>
      <c r="J594" s="16">
        <f t="shared" ref="J594:J657" si="58">I594-H594</f>
        <v>0</v>
      </c>
      <c r="L594" s="3">
        <f t="shared" si="55"/>
        <v>0</v>
      </c>
      <c r="M594" s="20" t="b">
        <f t="shared" ref="M594:M657" si="59">J594=P594</f>
        <v>0</v>
      </c>
      <c r="O594" s="6" t="str">
        <f t="shared" si="56"/>
        <v>Open</v>
      </c>
      <c r="P594" s="3">
        <f t="shared" si="57"/>
        <v>60</v>
      </c>
    </row>
    <row r="595" spans="7:16" ht="15.6" x14ac:dyDescent="0.3">
      <c r="G595" s="5"/>
      <c r="H595" s="18"/>
      <c r="I595" s="18"/>
      <c r="J595" s="16">
        <f t="shared" si="58"/>
        <v>0</v>
      </c>
      <c r="L595" s="3">
        <f t="shared" si="55"/>
        <v>0</v>
      </c>
      <c r="M595" s="20" t="b">
        <f t="shared" si="59"/>
        <v>0</v>
      </c>
      <c r="O595" s="6" t="str">
        <f t="shared" si="56"/>
        <v>Open</v>
      </c>
      <c r="P595" s="3">
        <f t="shared" si="57"/>
        <v>60</v>
      </c>
    </row>
    <row r="596" spans="7:16" ht="15.6" x14ac:dyDescent="0.3">
      <c r="G596" s="5"/>
      <c r="H596" s="18"/>
      <c r="I596" s="18"/>
      <c r="J596" s="16">
        <f t="shared" si="58"/>
        <v>0</v>
      </c>
      <c r="L596" s="3">
        <f t="shared" si="55"/>
        <v>0</v>
      </c>
      <c r="M596" s="20" t="b">
        <f t="shared" si="59"/>
        <v>0</v>
      </c>
      <c r="O596" s="6" t="str">
        <f t="shared" si="56"/>
        <v>Open</v>
      </c>
      <c r="P596" s="3">
        <f t="shared" si="57"/>
        <v>60</v>
      </c>
    </row>
    <row r="597" spans="7:16" ht="15.6" x14ac:dyDescent="0.3">
      <c r="G597" s="5"/>
      <c r="H597" s="18"/>
      <c r="I597" s="18"/>
      <c r="J597" s="16">
        <f t="shared" si="58"/>
        <v>0</v>
      </c>
      <c r="L597" s="3">
        <f t="shared" si="55"/>
        <v>0</v>
      </c>
      <c r="M597" s="20" t="b">
        <f t="shared" si="59"/>
        <v>0</v>
      </c>
      <c r="O597" s="6" t="str">
        <f t="shared" si="56"/>
        <v>Open</v>
      </c>
      <c r="P597" s="3">
        <f t="shared" si="57"/>
        <v>60</v>
      </c>
    </row>
    <row r="598" spans="7:16" ht="15.6" x14ac:dyDescent="0.3">
      <c r="G598" s="5"/>
      <c r="H598" s="18"/>
      <c r="I598" s="18"/>
      <c r="J598" s="16">
        <f t="shared" si="58"/>
        <v>0</v>
      </c>
      <c r="L598" s="3">
        <f t="shared" si="55"/>
        <v>0</v>
      </c>
      <c r="M598" s="20" t="b">
        <f t="shared" si="59"/>
        <v>0</v>
      </c>
      <c r="O598" s="6" t="str">
        <f t="shared" si="56"/>
        <v>Open</v>
      </c>
      <c r="P598" s="3">
        <f t="shared" si="57"/>
        <v>60</v>
      </c>
    </row>
    <row r="599" spans="7:16" ht="15.6" x14ac:dyDescent="0.3">
      <c r="G599" s="5"/>
      <c r="H599" s="18"/>
      <c r="I599" s="18"/>
      <c r="J599" s="16">
        <f t="shared" si="58"/>
        <v>0</v>
      </c>
      <c r="L599" s="3">
        <f t="shared" si="55"/>
        <v>0</v>
      </c>
      <c r="M599" s="20" t="b">
        <f t="shared" si="59"/>
        <v>0</v>
      </c>
      <c r="O599" s="6" t="str">
        <f t="shared" si="56"/>
        <v>Open</v>
      </c>
      <c r="P599" s="3">
        <f t="shared" si="57"/>
        <v>60</v>
      </c>
    </row>
    <row r="600" spans="7:16" ht="15.6" x14ac:dyDescent="0.3">
      <c r="G600" s="5"/>
      <c r="H600" s="18"/>
      <c r="I600" s="18"/>
      <c r="J600" s="16">
        <f t="shared" si="58"/>
        <v>0</v>
      </c>
      <c r="L600" s="3">
        <f t="shared" si="55"/>
        <v>0</v>
      </c>
      <c r="M600" s="20" t="b">
        <f t="shared" si="59"/>
        <v>0</v>
      </c>
      <c r="O600" s="6" t="str">
        <f t="shared" si="56"/>
        <v>Open</v>
      </c>
      <c r="P600" s="3">
        <f t="shared" si="57"/>
        <v>60</v>
      </c>
    </row>
    <row r="601" spans="7:16" ht="15.6" x14ac:dyDescent="0.3">
      <c r="G601" s="5"/>
      <c r="H601" s="18"/>
      <c r="I601" s="18"/>
      <c r="J601" s="16">
        <f t="shared" si="58"/>
        <v>0</v>
      </c>
      <c r="L601" s="3">
        <f t="shared" si="55"/>
        <v>0</v>
      </c>
      <c r="M601" s="20" t="b">
        <f t="shared" si="59"/>
        <v>0</v>
      </c>
      <c r="O601" s="6" t="str">
        <f t="shared" si="56"/>
        <v>Open</v>
      </c>
      <c r="P601" s="3">
        <f t="shared" si="57"/>
        <v>60</v>
      </c>
    </row>
    <row r="602" spans="7:16" ht="15.6" x14ac:dyDescent="0.3">
      <c r="G602" s="5"/>
      <c r="H602" s="18"/>
      <c r="I602" s="18"/>
      <c r="J602" s="16">
        <f t="shared" si="58"/>
        <v>0</v>
      </c>
      <c r="L602" s="3">
        <f t="shared" si="55"/>
        <v>0</v>
      </c>
      <c r="M602" s="20" t="b">
        <f t="shared" si="59"/>
        <v>0</v>
      </c>
      <c r="O602" s="6" t="str">
        <f t="shared" si="56"/>
        <v>Open</v>
      </c>
      <c r="P602" s="3">
        <f t="shared" si="57"/>
        <v>60</v>
      </c>
    </row>
    <row r="603" spans="7:16" ht="15.6" x14ac:dyDescent="0.3">
      <c r="G603" s="5"/>
      <c r="H603" s="18"/>
      <c r="I603" s="18"/>
      <c r="J603" s="16">
        <f t="shared" si="58"/>
        <v>0</v>
      </c>
      <c r="L603" s="3">
        <f t="shared" si="55"/>
        <v>0</v>
      </c>
      <c r="M603" s="20" t="b">
        <f t="shared" si="59"/>
        <v>0</v>
      </c>
      <c r="O603" s="6" t="str">
        <f t="shared" si="56"/>
        <v>Open</v>
      </c>
      <c r="P603" s="3">
        <f t="shared" si="57"/>
        <v>60</v>
      </c>
    </row>
    <row r="604" spans="7:16" ht="15.6" x14ac:dyDescent="0.3">
      <c r="G604" s="5"/>
      <c r="H604" s="18"/>
      <c r="I604" s="18"/>
      <c r="J604" s="16">
        <f t="shared" si="58"/>
        <v>0</v>
      </c>
      <c r="L604" s="3">
        <f t="shared" si="55"/>
        <v>0</v>
      </c>
      <c r="M604" s="20" t="b">
        <f t="shared" si="59"/>
        <v>0</v>
      </c>
      <c r="O604" s="6" t="str">
        <f t="shared" si="56"/>
        <v>Open</v>
      </c>
      <c r="P604" s="3">
        <f t="shared" si="57"/>
        <v>60</v>
      </c>
    </row>
    <row r="605" spans="7:16" ht="15.6" x14ac:dyDescent="0.3">
      <c r="G605" s="5"/>
      <c r="H605" s="18"/>
      <c r="I605" s="18"/>
      <c r="J605" s="16">
        <f t="shared" si="58"/>
        <v>0</v>
      </c>
      <c r="L605" s="3">
        <f t="shared" si="55"/>
        <v>0</v>
      </c>
      <c r="M605" s="20" t="b">
        <f t="shared" si="59"/>
        <v>0</v>
      </c>
      <c r="O605" s="6" t="str">
        <f t="shared" si="56"/>
        <v>Open</v>
      </c>
      <c r="P605" s="3">
        <f t="shared" si="57"/>
        <v>60</v>
      </c>
    </row>
    <row r="606" spans="7:16" ht="15.6" x14ac:dyDescent="0.3">
      <c r="G606" s="5"/>
      <c r="H606" s="18"/>
      <c r="I606" s="18"/>
      <c r="J606" s="16">
        <f t="shared" si="58"/>
        <v>0</v>
      </c>
      <c r="L606" s="3">
        <f t="shared" si="55"/>
        <v>0</v>
      </c>
      <c r="M606" s="20" t="b">
        <f t="shared" si="59"/>
        <v>0</v>
      </c>
      <c r="O606" s="6" t="str">
        <f t="shared" si="56"/>
        <v>Open</v>
      </c>
      <c r="P606" s="3">
        <f t="shared" si="57"/>
        <v>60</v>
      </c>
    </row>
    <row r="607" spans="7:16" ht="15.6" x14ac:dyDescent="0.3">
      <c r="G607" s="5"/>
      <c r="H607" s="18"/>
      <c r="I607" s="18"/>
      <c r="J607" s="16">
        <f t="shared" si="58"/>
        <v>0</v>
      </c>
      <c r="L607" s="3">
        <f t="shared" si="55"/>
        <v>0</v>
      </c>
      <c r="M607" s="20" t="b">
        <f t="shared" si="59"/>
        <v>0</v>
      </c>
      <c r="O607" s="6" t="str">
        <f t="shared" si="56"/>
        <v>Open</v>
      </c>
      <c r="P607" s="3">
        <f t="shared" si="57"/>
        <v>60</v>
      </c>
    </row>
    <row r="608" spans="7:16" ht="15.6" x14ac:dyDescent="0.3">
      <c r="G608" s="5"/>
      <c r="H608" s="18"/>
      <c r="I608" s="18"/>
      <c r="J608" s="16">
        <f t="shared" si="58"/>
        <v>0</v>
      </c>
      <c r="L608" s="3">
        <f t="shared" si="55"/>
        <v>0</v>
      </c>
      <c r="M608" s="20" t="b">
        <f t="shared" si="59"/>
        <v>0</v>
      </c>
      <c r="O608" s="6" t="str">
        <f t="shared" si="56"/>
        <v>Open</v>
      </c>
      <c r="P608" s="3">
        <f t="shared" si="57"/>
        <v>60</v>
      </c>
    </row>
    <row r="609" spans="7:16" ht="15.6" x14ac:dyDescent="0.3">
      <c r="G609" s="5"/>
      <c r="H609" s="18"/>
      <c r="I609" s="18"/>
      <c r="J609" s="16">
        <f t="shared" si="58"/>
        <v>0</v>
      </c>
      <c r="L609" s="3">
        <f t="shared" si="55"/>
        <v>0</v>
      </c>
      <c r="M609" s="20" t="b">
        <f t="shared" si="59"/>
        <v>0</v>
      </c>
      <c r="O609" s="6" t="str">
        <f t="shared" si="56"/>
        <v>Open</v>
      </c>
      <c r="P609" s="3">
        <f t="shared" si="57"/>
        <v>60</v>
      </c>
    </row>
    <row r="610" spans="7:16" ht="15.6" x14ac:dyDescent="0.3">
      <c r="G610" s="5"/>
      <c r="H610" s="18"/>
      <c r="I610" s="18"/>
      <c r="J610" s="16">
        <f t="shared" si="58"/>
        <v>0</v>
      </c>
      <c r="L610" s="3">
        <f t="shared" si="55"/>
        <v>0</v>
      </c>
      <c r="M610" s="20" t="b">
        <f t="shared" si="59"/>
        <v>0</v>
      </c>
      <c r="O610" s="6" t="str">
        <f t="shared" si="56"/>
        <v>Open</v>
      </c>
      <c r="P610" s="3">
        <f t="shared" si="57"/>
        <v>60</v>
      </c>
    </row>
    <row r="611" spans="7:16" ht="15.6" x14ac:dyDescent="0.3">
      <c r="G611" s="5"/>
      <c r="H611" s="18"/>
      <c r="I611" s="18"/>
      <c r="J611" s="16">
        <f t="shared" si="58"/>
        <v>0</v>
      </c>
      <c r="L611" s="3">
        <f t="shared" si="55"/>
        <v>0</v>
      </c>
      <c r="M611" s="20" t="b">
        <f t="shared" si="59"/>
        <v>0</v>
      </c>
      <c r="O611" s="6" t="str">
        <f t="shared" si="56"/>
        <v>Open</v>
      </c>
      <c r="P611" s="3">
        <f t="shared" si="57"/>
        <v>60</v>
      </c>
    </row>
    <row r="612" spans="7:16" ht="15.6" x14ac:dyDescent="0.3">
      <c r="G612" s="5"/>
      <c r="H612" s="18"/>
      <c r="I612" s="18"/>
      <c r="J612" s="16">
        <f t="shared" si="58"/>
        <v>0</v>
      </c>
      <c r="L612" s="3">
        <f t="shared" si="55"/>
        <v>0</v>
      </c>
      <c r="M612" s="20" t="b">
        <f t="shared" si="59"/>
        <v>0</v>
      </c>
      <c r="O612" s="6" t="str">
        <f t="shared" si="56"/>
        <v>Open</v>
      </c>
      <c r="P612" s="3">
        <f t="shared" si="57"/>
        <v>60</v>
      </c>
    </row>
    <row r="613" spans="7:16" ht="15.6" x14ac:dyDescent="0.3">
      <c r="G613" s="5"/>
      <c r="H613" s="18"/>
      <c r="I613" s="18"/>
      <c r="J613" s="16">
        <f t="shared" si="58"/>
        <v>0</v>
      </c>
      <c r="L613" s="3">
        <f t="shared" si="55"/>
        <v>0</v>
      </c>
      <c r="M613" s="20" t="b">
        <f t="shared" si="59"/>
        <v>0</v>
      </c>
      <c r="O613" s="6" t="str">
        <f t="shared" si="56"/>
        <v>Open</v>
      </c>
      <c r="P613" s="3">
        <f t="shared" si="57"/>
        <v>60</v>
      </c>
    </row>
    <row r="614" spans="7:16" ht="15.6" x14ac:dyDescent="0.3">
      <c r="G614" s="5"/>
      <c r="H614" s="18"/>
      <c r="I614" s="18"/>
      <c r="J614" s="16">
        <f t="shared" si="58"/>
        <v>0</v>
      </c>
      <c r="L614" s="3">
        <f t="shared" si="55"/>
        <v>0</v>
      </c>
      <c r="M614" s="20" t="b">
        <f t="shared" si="59"/>
        <v>0</v>
      </c>
      <c r="O614" s="6" t="str">
        <f t="shared" si="56"/>
        <v>Open</v>
      </c>
      <c r="P614" s="3">
        <f t="shared" si="57"/>
        <v>60</v>
      </c>
    </row>
    <row r="615" spans="7:16" ht="15.6" x14ac:dyDescent="0.3">
      <c r="G615" s="5"/>
      <c r="H615" s="18"/>
      <c r="I615" s="18"/>
      <c r="J615" s="16">
        <f t="shared" si="58"/>
        <v>0</v>
      </c>
      <c r="L615" s="3">
        <f t="shared" si="55"/>
        <v>0</v>
      </c>
      <c r="M615" s="20" t="b">
        <f t="shared" si="59"/>
        <v>0</v>
      </c>
      <c r="O615" s="6" t="str">
        <f t="shared" si="56"/>
        <v>Open</v>
      </c>
      <c r="P615" s="3">
        <f t="shared" si="57"/>
        <v>60</v>
      </c>
    </row>
    <row r="616" spans="7:16" ht="15.6" x14ac:dyDescent="0.3">
      <c r="G616" s="5"/>
      <c r="H616" s="18"/>
      <c r="I616" s="18"/>
      <c r="J616" s="16">
        <f t="shared" si="58"/>
        <v>0</v>
      </c>
      <c r="L616" s="3">
        <f t="shared" si="55"/>
        <v>0</v>
      </c>
      <c r="M616" s="20" t="b">
        <f t="shared" si="59"/>
        <v>0</v>
      </c>
      <c r="O616" s="6" t="str">
        <f t="shared" si="56"/>
        <v>Open</v>
      </c>
      <c r="P616" s="3">
        <f t="shared" si="57"/>
        <v>60</v>
      </c>
    </row>
    <row r="617" spans="7:16" ht="15.6" x14ac:dyDescent="0.3">
      <c r="G617" s="5"/>
      <c r="H617" s="18"/>
      <c r="I617" s="18"/>
      <c r="J617" s="16">
        <f t="shared" si="58"/>
        <v>0</v>
      </c>
      <c r="L617" s="3">
        <f t="shared" si="55"/>
        <v>0</v>
      </c>
      <c r="M617" s="20" t="b">
        <f t="shared" si="59"/>
        <v>0</v>
      </c>
      <c r="O617" s="6" t="str">
        <f t="shared" si="56"/>
        <v>Open</v>
      </c>
      <c r="P617" s="3">
        <f t="shared" si="57"/>
        <v>60</v>
      </c>
    </row>
    <row r="618" spans="7:16" ht="15.6" x14ac:dyDescent="0.3">
      <c r="G618" s="5"/>
      <c r="H618" s="18"/>
      <c r="I618" s="18"/>
      <c r="J618" s="16">
        <f t="shared" si="58"/>
        <v>0</v>
      </c>
      <c r="L618" s="3">
        <f t="shared" si="55"/>
        <v>0</v>
      </c>
      <c r="M618" s="20" t="b">
        <f t="shared" si="59"/>
        <v>0</v>
      </c>
      <c r="O618" s="6" t="str">
        <f t="shared" si="56"/>
        <v>Open</v>
      </c>
      <c r="P618" s="3">
        <f t="shared" si="57"/>
        <v>60</v>
      </c>
    </row>
    <row r="619" spans="7:16" ht="15.6" x14ac:dyDescent="0.3">
      <c r="G619" s="5"/>
      <c r="H619" s="18"/>
      <c r="I619" s="18"/>
      <c r="J619" s="16">
        <f t="shared" si="58"/>
        <v>0</v>
      </c>
      <c r="L619" s="3">
        <f t="shared" si="55"/>
        <v>0</v>
      </c>
      <c r="M619" s="20" t="b">
        <f t="shared" si="59"/>
        <v>0</v>
      </c>
      <c r="O619" s="6" t="str">
        <f t="shared" si="56"/>
        <v>Open</v>
      </c>
      <c r="P619" s="3">
        <f t="shared" si="57"/>
        <v>60</v>
      </c>
    </row>
    <row r="620" spans="7:16" ht="15.6" x14ac:dyDescent="0.3">
      <c r="G620" s="5"/>
      <c r="H620" s="18"/>
      <c r="I620" s="18"/>
      <c r="J620" s="16">
        <f t="shared" si="58"/>
        <v>0</v>
      </c>
      <c r="L620" s="3">
        <f t="shared" si="55"/>
        <v>0</v>
      </c>
      <c r="M620" s="20" t="b">
        <f t="shared" si="59"/>
        <v>0</v>
      </c>
      <c r="O620" s="6" t="str">
        <f t="shared" si="56"/>
        <v>Open</v>
      </c>
      <c r="P620" s="3">
        <f t="shared" si="57"/>
        <v>60</v>
      </c>
    </row>
    <row r="621" spans="7:16" ht="15.6" x14ac:dyDescent="0.3">
      <c r="G621" s="5"/>
      <c r="H621" s="18"/>
      <c r="I621" s="18"/>
      <c r="J621" s="16">
        <f t="shared" si="58"/>
        <v>0</v>
      </c>
      <c r="L621" s="3">
        <f t="shared" si="55"/>
        <v>0</v>
      </c>
      <c r="M621" s="20" t="b">
        <f t="shared" si="59"/>
        <v>0</v>
      </c>
      <c r="O621" s="6" t="str">
        <f t="shared" si="56"/>
        <v>Open</v>
      </c>
      <c r="P621" s="3">
        <f t="shared" si="57"/>
        <v>60</v>
      </c>
    </row>
    <row r="622" spans="7:16" ht="15.6" x14ac:dyDescent="0.3">
      <c r="G622" s="5"/>
      <c r="H622" s="18"/>
      <c r="I622" s="18"/>
      <c r="J622" s="16">
        <f t="shared" si="58"/>
        <v>0</v>
      </c>
      <c r="L622" s="3">
        <f t="shared" si="55"/>
        <v>0</v>
      </c>
      <c r="M622" s="20" t="b">
        <f t="shared" si="59"/>
        <v>0</v>
      </c>
      <c r="O622" s="6" t="str">
        <f t="shared" si="56"/>
        <v>Open</v>
      </c>
      <c r="P622" s="3">
        <f t="shared" si="57"/>
        <v>60</v>
      </c>
    </row>
    <row r="623" spans="7:16" ht="15.6" x14ac:dyDescent="0.3">
      <c r="G623" s="5"/>
      <c r="H623" s="18"/>
      <c r="I623" s="18"/>
      <c r="J623" s="16">
        <f t="shared" si="58"/>
        <v>0</v>
      </c>
      <c r="L623" s="3">
        <f t="shared" si="55"/>
        <v>0</v>
      </c>
      <c r="M623" s="20" t="b">
        <f t="shared" si="59"/>
        <v>0</v>
      </c>
      <c r="O623" s="6" t="str">
        <f t="shared" si="56"/>
        <v>Open</v>
      </c>
      <c r="P623" s="3">
        <f t="shared" si="57"/>
        <v>60</v>
      </c>
    </row>
    <row r="624" spans="7:16" ht="15.6" x14ac:dyDescent="0.3">
      <c r="G624" s="5"/>
      <c r="H624" s="18"/>
      <c r="I624" s="18"/>
      <c r="J624" s="16">
        <f t="shared" si="58"/>
        <v>0</v>
      </c>
      <c r="L624" s="3">
        <f t="shared" si="55"/>
        <v>0</v>
      </c>
      <c r="M624" s="20" t="b">
        <f t="shared" si="59"/>
        <v>0</v>
      </c>
      <c r="O624" s="6" t="str">
        <f t="shared" si="56"/>
        <v>Open</v>
      </c>
      <c r="P624" s="3">
        <f t="shared" si="57"/>
        <v>60</v>
      </c>
    </row>
    <row r="625" spans="7:16" ht="15.6" x14ac:dyDescent="0.3">
      <c r="G625" s="5"/>
      <c r="H625" s="18"/>
      <c r="I625" s="18"/>
      <c r="J625" s="16">
        <f t="shared" si="58"/>
        <v>0</v>
      </c>
      <c r="L625" s="3">
        <f t="shared" si="55"/>
        <v>0</v>
      </c>
      <c r="M625" s="20" t="b">
        <f t="shared" si="59"/>
        <v>0</v>
      </c>
      <c r="O625" s="6" t="str">
        <f t="shared" si="56"/>
        <v>Open</v>
      </c>
      <c r="P625" s="3">
        <f t="shared" si="57"/>
        <v>60</v>
      </c>
    </row>
    <row r="626" spans="7:16" ht="15.6" x14ac:dyDescent="0.3">
      <c r="G626" s="5"/>
      <c r="H626" s="18"/>
      <c r="I626" s="18"/>
      <c r="J626" s="16">
        <f t="shared" si="58"/>
        <v>0</v>
      </c>
      <c r="L626" s="3">
        <f t="shared" si="55"/>
        <v>0</v>
      </c>
      <c r="M626" s="20" t="b">
        <f t="shared" si="59"/>
        <v>0</v>
      </c>
      <c r="O626" s="6" t="str">
        <f t="shared" si="56"/>
        <v>Open</v>
      </c>
      <c r="P626" s="3">
        <f t="shared" si="57"/>
        <v>60</v>
      </c>
    </row>
    <row r="627" spans="7:16" ht="15.6" x14ac:dyDescent="0.3">
      <c r="G627" s="5"/>
      <c r="H627" s="18"/>
      <c r="I627" s="18"/>
      <c r="J627" s="16">
        <f t="shared" si="58"/>
        <v>0</v>
      </c>
      <c r="L627" s="3">
        <f t="shared" si="55"/>
        <v>0</v>
      </c>
      <c r="M627" s="20" t="b">
        <f t="shared" si="59"/>
        <v>0</v>
      </c>
      <c r="O627" s="6" t="str">
        <f t="shared" si="56"/>
        <v>Open</v>
      </c>
      <c r="P627" s="3">
        <f t="shared" si="57"/>
        <v>60</v>
      </c>
    </row>
    <row r="628" spans="7:16" ht="15.6" x14ac:dyDescent="0.3">
      <c r="G628" s="5"/>
      <c r="H628" s="18"/>
      <c r="I628" s="18"/>
      <c r="J628" s="16">
        <f t="shared" si="58"/>
        <v>0</v>
      </c>
      <c r="L628" s="3">
        <f t="shared" si="55"/>
        <v>0</v>
      </c>
      <c r="M628" s="20" t="b">
        <f t="shared" si="59"/>
        <v>0</v>
      </c>
      <c r="O628" s="6" t="str">
        <f t="shared" si="56"/>
        <v>Open</v>
      </c>
      <c r="P628" s="3">
        <f t="shared" si="57"/>
        <v>60</v>
      </c>
    </row>
    <row r="629" spans="7:16" ht="15.6" x14ac:dyDescent="0.3">
      <c r="G629" s="5"/>
      <c r="H629" s="18"/>
      <c r="I629" s="18"/>
      <c r="J629" s="16">
        <f t="shared" si="58"/>
        <v>0</v>
      </c>
      <c r="L629" s="3">
        <f t="shared" si="55"/>
        <v>0</v>
      </c>
      <c r="M629" s="20" t="b">
        <f t="shared" si="59"/>
        <v>0</v>
      </c>
      <c r="O629" s="6" t="str">
        <f t="shared" si="56"/>
        <v>Open</v>
      </c>
      <c r="P629" s="3">
        <f t="shared" si="57"/>
        <v>60</v>
      </c>
    </row>
    <row r="630" spans="7:16" ht="15.6" x14ac:dyDescent="0.3">
      <c r="G630" s="5"/>
      <c r="H630" s="18"/>
      <c r="I630" s="18"/>
      <c r="J630" s="16">
        <f t="shared" si="58"/>
        <v>0</v>
      </c>
      <c r="L630" s="3">
        <f t="shared" si="55"/>
        <v>0</v>
      </c>
      <c r="M630" s="20" t="b">
        <f t="shared" si="59"/>
        <v>0</v>
      </c>
      <c r="O630" s="6" t="str">
        <f t="shared" si="56"/>
        <v>Open</v>
      </c>
      <c r="P630" s="3">
        <f t="shared" si="57"/>
        <v>60</v>
      </c>
    </row>
    <row r="631" spans="7:16" ht="15.6" x14ac:dyDescent="0.3">
      <c r="G631" s="5"/>
      <c r="H631" s="18"/>
      <c r="I631" s="18"/>
      <c r="J631" s="16">
        <f t="shared" si="58"/>
        <v>0</v>
      </c>
      <c r="L631" s="3">
        <f t="shared" si="55"/>
        <v>0</v>
      </c>
      <c r="M631" s="20" t="b">
        <f t="shared" si="59"/>
        <v>0</v>
      </c>
      <c r="O631" s="6" t="str">
        <f t="shared" si="56"/>
        <v>Open</v>
      </c>
      <c r="P631" s="3">
        <f t="shared" si="57"/>
        <v>60</v>
      </c>
    </row>
    <row r="632" spans="7:16" ht="15.6" x14ac:dyDescent="0.3">
      <c r="G632" s="5"/>
      <c r="H632" s="18"/>
      <c r="I632" s="18"/>
      <c r="J632" s="16">
        <f t="shared" si="58"/>
        <v>0</v>
      </c>
      <c r="L632" s="3">
        <f t="shared" si="55"/>
        <v>0</v>
      </c>
      <c r="M632" s="20" t="b">
        <f t="shared" si="59"/>
        <v>0</v>
      </c>
      <c r="O632" s="6" t="str">
        <f t="shared" si="56"/>
        <v>Open</v>
      </c>
      <c r="P632" s="3">
        <f t="shared" si="57"/>
        <v>60</v>
      </c>
    </row>
    <row r="633" spans="7:16" ht="15.6" x14ac:dyDescent="0.3">
      <c r="G633" s="5"/>
      <c r="H633" s="18"/>
      <c r="I633" s="18"/>
      <c r="J633" s="16">
        <f t="shared" si="58"/>
        <v>0</v>
      </c>
      <c r="L633" s="3">
        <f t="shared" si="55"/>
        <v>0</v>
      </c>
      <c r="M633" s="20" t="b">
        <f t="shared" si="59"/>
        <v>0</v>
      </c>
      <c r="O633" s="6" t="str">
        <f t="shared" si="56"/>
        <v>Open</v>
      </c>
      <c r="P633" s="3">
        <f t="shared" si="57"/>
        <v>60</v>
      </c>
    </row>
    <row r="634" spans="7:16" ht="15.6" x14ac:dyDescent="0.3">
      <c r="G634" s="5"/>
      <c r="H634" s="18"/>
      <c r="I634" s="18"/>
      <c r="J634" s="16">
        <f t="shared" si="58"/>
        <v>0</v>
      </c>
      <c r="L634" s="3">
        <f t="shared" si="55"/>
        <v>0</v>
      </c>
      <c r="M634" s="20" t="b">
        <f t="shared" si="59"/>
        <v>0</v>
      </c>
      <c r="O634" s="6" t="str">
        <f t="shared" si="56"/>
        <v>Open</v>
      </c>
      <c r="P634" s="3">
        <f t="shared" si="57"/>
        <v>60</v>
      </c>
    </row>
    <row r="635" spans="7:16" ht="15.6" x14ac:dyDescent="0.3">
      <c r="G635" s="5"/>
      <c r="H635" s="18"/>
      <c r="I635" s="18"/>
      <c r="J635" s="16">
        <f t="shared" si="58"/>
        <v>0</v>
      </c>
      <c r="L635" s="3">
        <f t="shared" si="55"/>
        <v>0</v>
      </c>
      <c r="M635" s="20" t="b">
        <f t="shared" si="59"/>
        <v>0</v>
      </c>
      <c r="O635" s="6" t="str">
        <f t="shared" si="56"/>
        <v>Open</v>
      </c>
      <c r="P635" s="3">
        <f t="shared" si="57"/>
        <v>60</v>
      </c>
    </row>
    <row r="636" spans="7:16" ht="15.6" x14ac:dyDescent="0.3">
      <c r="G636" s="5"/>
      <c r="H636" s="18"/>
      <c r="I636" s="18"/>
      <c r="J636" s="16">
        <f t="shared" si="58"/>
        <v>0</v>
      </c>
      <c r="L636" s="3">
        <f t="shared" si="55"/>
        <v>0</v>
      </c>
      <c r="M636" s="20" t="b">
        <f t="shared" si="59"/>
        <v>0</v>
      </c>
      <c r="O636" s="6" t="str">
        <f t="shared" si="56"/>
        <v>Open</v>
      </c>
      <c r="P636" s="3">
        <f t="shared" si="57"/>
        <v>60</v>
      </c>
    </row>
    <row r="637" spans="7:16" ht="15.6" x14ac:dyDescent="0.3">
      <c r="G637" s="5"/>
      <c r="H637" s="18"/>
      <c r="I637" s="18"/>
      <c r="J637" s="16">
        <f t="shared" si="58"/>
        <v>0</v>
      </c>
      <c r="L637" s="3">
        <f t="shared" si="55"/>
        <v>0</v>
      </c>
      <c r="M637" s="20" t="b">
        <f t="shared" si="59"/>
        <v>0</v>
      </c>
      <c r="O637" s="6" t="str">
        <f t="shared" si="56"/>
        <v>Open</v>
      </c>
      <c r="P637" s="3">
        <f t="shared" si="57"/>
        <v>60</v>
      </c>
    </row>
    <row r="638" spans="7:16" ht="15.6" x14ac:dyDescent="0.3">
      <c r="G638" s="5"/>
      <c r="H638" s="18"/>
      <c r="I638" s="18"/>
      <c r="J638" s="16">
        <f t="shared" si="58"/>
        <v>0</v>
      </c>
      <c r="L638" s="3">
        <f t="shared" si="55"/>
        <v>0</v>
      </c>
      <c r="M638" s="20" t="b">
        <f t="shared" si="59"/>
        <v>0</v>
      </c>
      <c r="O638" s="6" t="str">
        <f t="shared" si="56"/>
        <v>Open</v>
      </c>
      <c r="P638" s="3">
        <f t="shared" si="57"/>
        <v>60</v>
      </c>
    </row>
    <row r="639" spans="7:16" ht="15.6" x14ac:dyDescent="0.3">
      <c r="G639" s="5"/>
      <c r="H639" s="18"/>
      <c r="I639" s="18"/>
      <c r="J639" s="16">
        <f t="shared" si="58"/>
        <v>0</v>
      </c>
      <c r="L639" s="3">
        <f t="shared" si="55"/>
        <v>0</v>
      </c>
      <c r="M639" s="20" t="b">
        <f t="shared" si="59"/>
        <v>0</v>
      </c>
      <c r="O639" s="6" t="str">
        <f t="shared" si="56"/>
        <v>Open</v>
      </c>
      <c r="P639" s="3">
        <f t="shared" si="57"/>
        <v>60</v>
      </c>
    </row>
    <row r="640" spans="7:16" ht="15.6" x14ac:dyDescent="0.3">
      <c r="G640" s="5"/>
      <c r="H640" s="18"/>
      <c r="I640" s="18"/>
      <c r="J640" s="16">
        <f t="shared" si="58"/>
        <v>0</v>
      </c>
      <c r="L640" s="3">
        <f t="shared" si="55"/>
        <v>0</v>
      </c>
      <c r="M640" s="20" t="b">
        <f t="shared" si="59"/>
        <v>0</v>
      </c>
      <c r="O640" s="6" t="str">
        <f t="shared" si="56"/>
        <v>Open</v>
      </c>
      <c r="P640" s="3">
        <f t="shared" si="57"/>
        <v>60</v>
      </c>
    </row>
    <row r="641" spans="7:16" ht="15.6" x14ac:dyDescent="0.3">
      <c r="G641" s="5"/>
      <c r="H641" s="18"/>
      <c r="I641" s="18"/>
      <c r="J641" s="16">
        <f t="shared" si="58"/>
        <v>0</v>
      </c>
      <c r="L641" s="3">
        <f t="shared" si="55"/>
        <v>0</v>
      </c>
      <c r="M641" s="20" t="b">
        <f t="shared" si="59"/>
        <v>0</v>
      </c>
      <c r="O641" s="6" t="str">
        <f t="shared" si="56"/>
        <v>Open</v>
      </c>
      <c r="P641" s="3">
        <f t="shared" si="57"/>
        <v>60</v>
      </c>
    </row>
    <row r="642" spans="7:16" ht="15.6" x14ac:dyDescent="0.3">
      <c r="G642" s="5"/>
      <c r="H642" s="18"/>
      <c r="I642" s="18"/>
      <c r="J642" s="16">
        <f t="shared" si="58"/>
        <v>0</v>
      </c>
      <c r="L642" s="3">
        <f t="shared" ref="L642:L705" si="60">K642-SUM(Q642:BX642)</f>
        <v>0</v>
      </c>
      <c r="M642" s="20" t="b">
        <f t="shared" si="59"/>
        <v>0</v>
      </c>
      <c r="O642" s="6" t="str">
        <f t="shared" ref="O642:O705" si="61">IF(COUNTA(P642:BW642)=COLUMNS(P642:BW642),"Closed","Open")</f>
        <v>Open</v>
      </c>
      <c r="P642" s="3">
        <f t="shared" ref="P642:P705" si="62">60-COUNT(Q642:BX642)</f>
        <v>60</v>
      </c>
    </row>
    <row r="643" spans="7:16" ht="15.6" x14ac:dyDescent="0.3">
      <c r="G643" s="5"/>
      <c r="H643" s="18"/>
      <c r="I643" s="18"/>
      <c r="J643" s="16">
        <f t="shared" si="58"/>
        <v>0</v>
      </c>
      <c r="L643" s="3">
        <f t="shared" si="60"/>
        <v>0</v>
      </c>
      <c r="M643" s="20" t="b">
        <f t="shared" si="59"/>
        <v>0</v>
      </c>
      <c r="O643" s="6" t="str">
        <f t="shared" si="61"/>
        <v>Open</v>
      </c>
      <c r="P643" s="3">
        <f t="shared" si="62"/>
        <v>60</v>
      </c>
    </row>
    <row r="644" spans="7:16" ht="15.6" x14ac:dyDescent="0.3">
      <c r="G644" s="5"/>
      <c r="H644" s="18"/>
      <c r="I644" s="18"/>
      <c r="J644" s="16">
        <f t="shared" si="58"/>
        <v>0</v>
      </c>
      <c r="L644" s="3">
        <f t="shared" si="60"/>
        <v>0</v>
      </c>
      <c r="M644" s="20" t="b">
        <f t="shared" si="59"/>
        <v>0</v>
      </c>
      <c r="O644" s="6" t="str">
        <f t="shared" si="61"/>
        <v>Open</v>
      </c>
      <c r="P644" s="3">
        <f t="shared" si="62"/>
        <v>60</v>
      </c>
    </row>
    <row r="645" spans="7:16" ht="15.6" x14ac:dyDescent="0.3">
      <c r="G645" s="5"/>
      <c r="H645" s="18"/>
      <c r="I645" s="18"/>
      <c r="J645" s="16">
        <f t="shared" si="58"/>
        <v>0</v>
      </c>
      <c r="L645" s="3">
        <f t="shared" si="60"/>
        <v>0</v>
      </c>
      <c r="M645" s="20" t="b">
        <f t="shared" si="59"/>
        <v>0</v>
      </c>
      <c r="O645" s="6" t="str">
        <f t="shared" si="61"/>
        <v>Open</v>
      </c>
      <c r="P645" s="3">
        <f t="shared" si="62"/>
        <v>60</v>
      </c>
    </row>
    <row r="646" spans="7:16" ht="15.6" x14ac:dyDescent="0.3">
      <c r="G646" s="5"/>
      <c r="H646" s="18"/>
      <c r="I646" s="18"/>
      <c r="J646" s="16">
        <f t="shared" si="58"/>
        <v>0</v>
      </c>
      <c r="L646" s="3">
        <f t="shared" si="60"/>
        <v>0</v>
      </c>
      <c r="M646" s="20" t="b">
        <f t="shared" si="59"/>
        <v>0</v>
      </c>
      <c r="O646" s="6" t="str">
        <f t="shared" si="61"/>
        <v>Open</v>
      </c>
      <c r="P646" s="3">
        <f t="shared" si="62"/>
        <v>60</v>
      </c>
    </row>
    <row r="647" spans="7:16" ht="15.6" x14ac:dyDescent="0.3">
      <c r="G647" s="5"/>
      <c r="H647" s="18"/>
      <c r="I647" s="18"/>
      <c r="J647" s="16">
        <f t="shared" si="58"/>
        <v>0</v>
      </c>
      <c r="L647" s="3">
        <f t="shared" si="60"/>
        <v>0</v>
      </c>
      <c r="M647" s="20" t="b">
        <f t="shared" si="59"/>
        <v>0</v>
      </c>
      <c r="O647" s="6" t="str">
        <f t="shared" si="61"/>
        <v>Open</v>
      </c>
      <c r="P647" s="3">
        <f t="shared" si="62"/>
        <v>60</v>
      </c>
    </row>
    <row r="648" spans="7:16" ht="15.6" x14ac:dyDescent="0.3">
      <c r="G648" s="5"/>
      <c r="H648" s="18"/>
      <c r="I648" s="18"/>
      <c r="J648" s="16">
        <f t="shared" si="58"/>
        <v>0</v>
      </c>
      <c r="L648" s="3">
        <f t="shared" si="60"/>
        <v>0</v>
      </c>
      <c r="M648" s="20" t="b">
        <f t="shared" si="59"/>
        <v>0</v>
      </c>
      <c r="O648" s="6" t="str">
        <f t="shared" si="61"/>
        <v>Open</v>
      </c>
      <c r="P648" s="3">
        <f t="shared" si="62"/>
        <v>60</v>
      </c>
    </row>
    <row r="649" spans="7:16" ht="15.6" x14ac:dyDescent="0.3">
      <c r="G649" s="5"/>
      <c r="H649" s="18"/>
      <c r="I649" s="18"/>
      <c r="J649" s="16">
        <f t="shared" si="58"/>
        <v>0</v>
      </c>
      <c r="L649" s="3">
        <f t="shared" si="60"/>
        <v>0</v>
      </c>
      <c r="M649" s="20" t="b">
        <f t="shared" si="59"/>
        <v>0</v>
      </c>
      <c r="O649" s="6" t="str">
        <f t="shared" si="61"/>
        <v>Open</v>
      </c>
      <c r="P649" s="3">
        <f t="shared" si="62"/>
        <v>60</v>
      </c>
    </row>
    <row r="650" spans="7:16" ht="15.6" x14ac:dyDescent="0.3">
      <c r="G650" s="5"/>
      <c r="H650" s="18"/>
      <c r="I650" s="18"/>
      <c r="J650" s="16">
        <f t="shared" si="58"/>
        <v>0</v>
      </c>
      <c r="L650" s="3">
        <f t="shared" si="60"/>
        <v>0</v>
      </c>
      <c r="M650" s="20" t="b">
        <f t="shared" si="59"/>
        <v>0</v>
      </c>
      <c r="O650" s="6" t="str">
        <f t="shared" si="61"/>
        <v>Open</v>
      </c>
      <c r="P650" s="3">
        <f t="shared" si="62"/>
        <v>60</v>
      </c>
    </row>
    <row r="651" spans="7:16" ht="15.6" x14ac:dyDescent="0.3">
      <c r="G651" s="5"/>
      <c r="H651" s="18"/>
      <c r="I651" s="18"/>
      <c r="J651" s="16">
        <f t="shared" si="58"/>
        <v>0</v>
      </c>
      <c r="L651" s="3">
        <f t="shared" si="60"/>
        <v>0</v>
      </c>
      <c r="M651" s="20" t="b">
        <f t="shared" si="59"/>
        <v>0</v>
      </c>
      <c r="O651" s="6" t="str">
        <f t="shared" si="61"/>
        <v>Open</v>
      </c>
      <c r="P651" s="3">
        <f t="shared" si="62"/>
        <v>60</v>
      </c>
    </row>
    <row r="652" spans="7:16" ht="15.6" x14ac:dyDescent="0.3">
      <c r="G652" s="5"/>
      <c r="H652" s="18"/>
      <c r="I652" s="18"/>
      <c r="J652" s="16">
        <f t="shared" si="58"/>
        <v>0</v>
      </c>
      <c r="L652" s="3">
        <f t="shared" si="60"/>
        <v>0</v>
      </c>
      <c r="M652" s="20" t="b">
        <f t="shared" si="59"/>
        <v>0</v>
      </c>
      <c r="O652" s="6" t="str">
        <f t="shared" si="61"/>
        <v>Open</v>
      </c>
      <c r="P652" s="3">
        <f t="shared" si="62"/>
        <v>60</v>
      </c>
    </row>
    <row r="653" spans="7:16" ht="15.6" x14ac:dyDescent="0.3">
      <c r="G653" s="5"/>
      <c r="H653" s="18"/>
      <c r="I653" s="18"/>
      <c r="J653" s="16">
        <f t="shared" si="58"/>
        <v>0</v>
      </c>
      <c r="L653" s="3">
        <f t="shared" si="60"/>
        <v>0</v>
      </c>
      <c r="M653" s="20" t="b">
        <f t="shared" si="59"/>
        <v>0</v>
      </c>
      <c r="O653" s="6" t="str">
        <f t="shared" si="61"/>
        <v>Open</v>
      </c>
      <c r="P653" s="3">
        <f t="shared" si="62"/>
        <v>60</v>
      </c>
    </row>
    <row r="654" spans="7:16" ht="15.6" x14ac:dyDescent="0.3">
      <c r="G654" s="5"/>
      <c r="H654" s="18"/>
      <c r="I654" s="18"/>
      <c r="J654" s="16">
        <f t="shared" si="58"/>
        <v>0</v>
      </c>
      <c r="L654" s="3">
        <f t="shared" si="60"/>
        <v>0</v>
      </c>
      <c r="M654" s="20" t="b">
        <f t="shared" si="59"/>
        <v>0</v>
      </c>
      <c r="O654" s="6" t="str">
        <f t="shared" si="61"/>
        <v>Open</v>
      </c>
      <c r="P654" s="3">
        <f t="shared" si="62"/>
        <v>60</v>
      </c>
    </row>
    <row r="655" spans="7:16" ht="15.6" x14ac:dyDescent="0.3">
      <c r="G655" s="5"/>
      <c r="H655" s="18"/>
      <c r="I655" s="18"/>
      <c r="J655" s="16">
        <f t="shared" si="58"/>
        <v>0</v>
      </c>
      <c r="L655" s="3">
        <f t="shared" si="60"/>
        <v>0</v>
      </c>
      <c r="M655" s="20" t="b">
        <f t="shared" si="59"/>
        <v>0</v>
      </c>
      <c r="O655" s="6" t="str">
        <f t="shared" si="61"/>
        <v>Open</v>
      </c>
      <c r="P655" s="3">
        <f t="shared" si="62"/>
        <v>60</v>
      </c>
    </row>
    <row r="656" spans="7:16" ht="15.6" x14ac:dyDescent="0.3">
      <c r="G656" s="5"/>
      <c r="H656" s="18"/>
      <c r="I656" s="18"/>
      <c r="J656" s="16">
        <f t="shared" si="58"/>
        <v>0</v>
      </c>
      <c r="L656" s="3">
        <f t="shared" si="60"/>
        <v>0</v>
      </c>
      <c r="M656" s="20" t="b">
        <f t="shared" si="59"/>
        <v>0</v>
      </c>
      <c r="O656" s="6" t="str">
        <f t="shared" si="61"/>
        <v>Open</v>
      </c>
      <c r="P656" s="3">
        <f t="shared" si="62"/>
        <v>60</v>
      </c>
    </row>
    <row r="657" spans="7:16" ht="15.6" x14ac:dyDescent="0.3">
      <c r="G657" s="5"/>
      <c r="H657" s="18"/>
      <c r="I657" s="18"/>
      <c r="J657" s="16">
        <f t="shared" si="58"/>
        <v>0</v>
      </c>
      <c r="L657" s="3">
        <f t="shared" si="60"/>
        <v>0</v>
      </c>
      <c r="M657" s="20" t="b">
        <f t="shared" si="59"/>
        <v>0</v>
      </c>
      <c r="O657" s="6" t="str">
        <f t="shared" si="61"/>
        <v>Open</v>
      </c>
      <c r="P657" s="3">
        <f t="shared" si="62"/>
        <v>60</v>
      </c>
    </row>
    <row r="658" spans="7:16" ht="15.6" x14ac:dyDescent="0.3">
      <c r="G658" s="5"/>
      <c r="H658" s="18"/>
      <c r="I658" s="18"/>
      <c r="J658" s="16">
        <f t="shared" ref="J658:J721" si="63">I658-H658</f>
        <v>0</v>
      </c>
      <c r="L658" s="3">
        <f t="shared" si="60"/>
        <v>0</v>
      </c>
      <c r="M658" s="20" t="b">
        <f t="shared" ref="M658:M721" si="64">J658=P658</f>
        <v>0</v>
      </c>
      <c r="O658" s="6" t="str">
        <f t="shared" si="61"/>
        <v>Open</v>
      </c>
      <c r="P658" s="3">
        <f t="shared" si="62"/>
        <v>60</v>
      </c>
    </row>
    <row r="659" spans="7:16" ht="15.6" x14ac:dyDescent="0.3">
      <c r="G659" s="5"/>
      <c r="H659" s="18"/>
      <c r="I659" s="18"/>
      <c r="J659" s="16">
        <f t="shared" si="63"/>
        <v>0</v>
      </c>
      <c r="L659" s="3">
        <f t="shared" si="60"/>
        <v>0</v>
      </c>
      <c r="M659" s="20" t="b">
        <f t="shared" si="64"/>
        <v>0</v>
      </c>
      <c r="O659" s="6" t="str">
        <f t="shared" si="61"/>
        <v>Open</v>
      </c>
      <c r="P659" s="3">
        <f t="shared" si="62"/>
        <v>60</v>
      </c>
    </row>
    <row r="660" spans="7:16" ht="15.6" x14ac:dyDescent="0.3">
      <c r="G660" s="5"/>
      <c r="H660" s="18"/>
      <c r="I660" s="18"/>
      <c r="J660" s="16">
        <f t="shared" si="63"/>
        <v>0</v>
      </c>
      <c r="L660" s="3">
        <f t="shared" si="60"/>
        <v>0</v>
      </c>
      <c r="M660" s="20" t="b">
        <f t="shared" si="64"/>
        <v>0</v>
      </c>
      <c r="O660" s="6" t="str">
        <f t="shared" si="61"/>
        <v>Open</v>
      </c>
      <c r="P660" s="3">
        <f t="shared" si="62"/>
        <v>60</v>
      </c>
    </row>
    <row r="661" spans="7:16" ht="15.6" x14ac:dyDescent="0.3">
      <c r="G661" s="5"/>
      <c r="H661" s="18"/>
      <c r="I661" s="18"/>
      <c r="J661" s="16">
        <f t="shared" si="63"/>
        <v>0</v>
      </c>
      <c r="L661" s="3">
        <f t="shared" si="60"/>
        <v>0</v>
      </c>
      <c r="M661" s="20" t="b">
        <f t="shared" si="64"/>
        <v>0</v>
      </c>
      <c r="O661" s="6" t="str">
        <f t="shared" si="61"/>
        <v>Open</v>
      </c>
      <c r="P661" s="3">
        <f t="shared" si="62"/>
        <v>60</v>
      </c>
    </row>
    <row r="662" spans="7:16" ht="15.6" x14ac:dyDescent="0.3">
      <c r="G662" s="5"/>
      <c r="H662" s="18"/>
      <c r="I662" s="18"/>
      <c r="J662" s="16">
        <f t="shared" si="63"/>
        <v>0</v>
      </c>
      <c r="L662" s="3">
        <f t="shared" si="60"/>
        <v>0</v>
      </c>
      <c r="M662" s="20" t="b">
        <f t="shared" si="64"/>
        <v>0</v>
      </c>
      <c r="O662" s="6" t="str">
        <f t="shared" si="61"/>
        <v>Open</v>
      </c>
      <c r="P662" s="3">
        <f t="shared" si="62"/>
        <v>60</v>
      </c>
    </row>
    <row r="663" spans="7:16" ht="15.6" x14ac:dyDescent="0.3">
      <c r="G663" s="5"/>
      <c r="H663" s="18"/>
      <c r="I663" s="18"/>
      <c r="J663" s="16">
        <f t="shared" si="63"/>
        <v>0</v>
      </c>
      <c r="L663" s="3">
        <f t="shared" si="60"/>
        <v>0</v>
      </c>
      <c r="M663" s="20" t="b">
        <f t="shared" si="64"/>
        <v>0</v>
      </c>
      <c r="O663" s="6" t="str">
        <f t="shared" si="61"/>
        <v>Open</v>
      </c>
      <c r="P663" s="3">
        <f t="shared" si="62"/>
        <v>60</v>
      </c>
    </row>
    <row r="664" spans="7:16" ht="15.6" x14ac:dyDescent="0.3">
      <c r="G664" s="5"/>
      <c r="H664" s="18"/>
      <c r="I664" s="18"/>
      <c r="J664" s="16">
        <f t="shared" si="63"/>
        <v>0</v>
      </c>
      <c r="L664" s="3">
        <f t="shared" si="60"/>
        <v>0</v>
      </c>
      <c r="M664" s="20" t="b">
        <f t="shared" si="64"/>
        <v>0</v>
      </c>
      <c r="O664" s="6" t="str">
        <f t="shared" si="61"/>
        <v>Open</v>
      </c>
      <c r="P664" s="3">
        <f t="shared" si="62"/>
        <v>60</v>
      </c>
    </row>
    <row r="665" spans="7:16" ht="15.6" x14ac:dyDescent="0.3">
      <c r="G665" s="5"/>
      <c r="H665" s="18"/>
      <c r="I665" s="18"/>
      <c r="J665" s="16">
        <f t="shared" si="63"/>
        <v>0</v>
      </c>
      <c r="L665" s="3">
        <f t="shared" si="60"/>
        <v>0</v>
      </c>
      <c r="M665" s="20" t="b">
        <f t="shared" si="64"/>
        <v>0</v>
      </c>
      <c r="O665" s="6" t="str">
        <f t="shared" si="61"/>
        <v>Open</v>
      </c>
      <c r="P665" s="3">
        <f t="shared" si="62"/>
        <v>60</v>
      </c>
    </row>
    <row r="666" spans="7:16" ht="15.6" x14ac:dyDescent="0.3">
      <c r="G666" s="5"/>
      <c r="H666" s="18"/>
      <c r="I666" s="18"/>
      <c r="J666" s="16">
        <f t="shared" si="63"/>
        <v>0</v>
      </c>
      <c r="L666" s="3">
        <f t="shared" si="60"/>
        <v>0</v>
      </c>
      <c r="M666" s="20" t="b">
        <f t="shared" si="64"/>
        <v>0</v>
      </c>
      <c r="O666" s="6" t="str">
        <f t="shared" si="61"/>
        <v>Open</v>
      </c>
      <c r="P666" s="3">
        <f t="shared" si="62"/>
        <v>60</v>
      </c>
    </row>
    <row r="667" spans="7:16" ht="15.6" x14ac:dyDescent="0.3">
      <c r="G667" s="5"/>
      <c r="H667" s="18"/>
      <c r="I667" s="18"/>
      <c r="J667" s="16">
        <f t="shared" si="63"/>
        <v>0</v>
      </c>
      <c r="L667" s="3">
        <f t="shared" si="60"/>
        <v>0</v>
      </c>
      <c r="M667" s="20" t="b">
        <f t="shared" si="64"/>
        <v>0</v>
      </c>
      <c r="O667" s="6" t="str">
        <f t="shared" si="61"/>
        <v>Open</v>
      </c>
      <c r="P667" s="3">
        <f t="shared" si="62"/>
        <v>60</v>
      </c>
    </row>
    <row r="668" spans="7:16" ht="15.6" x14ac:dyDescent="0.3">
      <c r="G668" s="5"/>
      <c r="H668" s="18"/>
      <c r="I668" s="18"/>
      <c r="J668" s="16">
        <f t="shared" si="63"/>
        <v>0</v>
      </c>
      <c r="L668" s="3">
        <f t="shared" si="60"/>
        <v>0</v>
      </c>
      <c r="M668" s="20" t="b">
        <f t="shared" si="64"/>
        <v>0</v>
      </c>
      <c r="O668" s="6" t="str">
        <f t="shared" si="61"/>
        <v>Open</v>
      </c>
      <c r="P668" s="3">
        <f t="shared" si="62"/>
        <v>60</v>
      </c>
    </row>
    <row r="669" spans="7:16" ht="15.6" x14ac:dyDescent="0.3">
      <c r="G669" s="5"/>
      <c r="H669" s="18"/>
      <c r="I669" s="18"/>
      <c r="J669" s="16">
        <f t="shared" si="63"/>
        <v>0</v>
      </c>
      <c r="L669" s="3">
        <f t="shared" si="60"/>
        <v>0</v>
      </c>
      <c r="M669" s="20" t="b">
        <f t="shared" si="64"/>
        <v>0</v>
      </c>
      <c r="O669" s="6" t="str">
        <f t="shared" si="61"/>
        <v>Open</v>
      </c>
      <c r="P669" s="3">
        <f t="shared" si="62"/>
        <v>60</v>
      </c>
    </row>
    <row r="670" spans="7:16" ht="15.6" x14ac:dyDescent="0.3">
      <c r="G670" s="5"/>
      <c r="H670" s="18"/>
      <c r="I670" s="18"/>
      <c r="J670" s="16">
        <f t="shared" si="63"/>
        <v>0</v>
      </c>
      <c r="L670" s="3">
        <f t="shared" si="60"/>
        <v>0</v>
      </c>
      <c r="M670" s="20" t="b">
        <f t="shared" si="64"/>
        <v>0</v>
      </c>
      <c r="O670" s="6" t="str">
        <f t="shared" si="61"/>
        <v>Open</v>
      </c>
      <c r="P670" s="3">
        <f t="shared" si="62"/>
        <v>60</v>
      </c>
    </row>
    <row r="671" spans="7:16" ht="15.6" x14ac:dyDescent="0.3">
      <c r="G671" s="5"/>
      <c r="H671" s="18"/>
      <c r="I671" s="18"/>
      <c r="J671" s="16">
        <f t="shared" si="63"/>
        <v>0</v>
      </c>
      <c r="L671" s="3">
        <f t="shared" si="60"/>
        <v>0</v>
      </c>
      <c r="M671" s="20" t="b">
        <f t="shared" si="64"/>
        <v>0</v>
      </c>
      <c r="O671" s="6" t="str">
        <f t="shared" si="61"/>
        <v>Open</v>
      </c>
      <c r="P671" s="3">
        <f t="shared" si="62"/>
        <v>60</v>
      </c>
    </row>
    <row r="672" spans="7:16" ht="15.6" x14ac:dyDescent="0.3">
      <c r="G672" s="5"/>
      <c r="H672" s="18"/>
      <c r="I672" s="18"/>
      <c r="J672" s="16">
        <f t="shared" si="63"/>
        <v>0</v>
      </c>
      <c r="L672" s="3">
        <f t="shared" si="60"/>
        <v>0</v>
      </c>
      <c r="M672" s="20" t="b">
        <f t="shared" si="64"/>
        <v>0</v>
      </c>
      <c r="O672" s="6" t="str">
        <f t="shared" si="61"/>
        <v>Open</v>
      </c>
      <c r="P672" s="3">
        <f t="shared" si="62"/>
        <v>60</v>
      </c>
    </row>
    <row r="673" spans="7:16" ht="15.6" x14ac:dyDescent="0.3">
      <c r="G673" s="5"/>
      <c r="H673" s="18"/>
      <c r="I673" s="18"/>
      <c r="J673" s="16">
        <f t="shared" si="63"/>
        <v>0</v>
      </c>
      <c r="L673" s="3">
        <f t="shared" si="60"/>
        <v>0</v>
      </c>
      <c r="M673" s="20" t="b">
        <f t="shared" si="64"/>
        <v>0</v>
      </c>
      <c r="O673" s="6" t="str">
        <f t="shared" si="61"/>
        <v>Open</v>
      </c>
      <c r="P673" s="3">
        <f t="shared" si="62"/>
        <v>60</v>
      </c>
    </row>
    <row r="674" spans="7:16" ht="15.6" x14ac:dyDescent="0.3">
      <c r="G674" s="5"/>
      <c r="H674" s="18"/>
      <c r="I674" s="18"/>
      <c r="J674" s="16">
        <f t="shared" si="63"/>
        <v>0</v>
      </c>
      <c r="L674" s="3">
        <f t="shared" si="60"/>
        <v>0</v>
      </c>
      <c r="M674" s="20" t="b">
        <f t="shared" si="64"/>
        <v>0</v>
      </c>
      <c r="O674" s="6" t="str">
        <f t="shared" si="61"/>
        <v>Open</v>
      </c>
      <c r="P674" s="3">
        <f t="shared" si="62"/>
        <v>60</v>
      </c>
    </row>
    <row r="675" spans="7:16" ht="15.6" x14ac:dyDescent="0.3">
      <c r="G675" s="5"/>
      <c r="H675" s="18"/>
      <c r="I675" s="18"/>
      <c r="J675" s="16">
        <f t="shared" si="63"/>
        <v>0</v>
      </c>
      <c r="L675" s="3">
        <f t="shared" si="60"/>
        <v>0</v>
      </c>
      <c r="M675" s="20" t="b">
        <f t="shared" si="64"/>
        <v>0</v>
      </c>
      <c r="O675" s="6" t="str">
        <f t="shared" si="61"/>
        <v>Open</v>
      </c>
      <c r="P675" s="3">
        <f t="shared" si="62"/>
        <v>60</v>
      </c>
    </row>
    <row r="676" spans="7:16" ht="15.6" x14ac:dyDescent="0.3">
      <c r="G676" s="5"/>
      <c r="H676" s="18"/>
      <c r="I676" s="18"/>
      <c r="J676" s="16">
        <f t="shared" si="63"/>
        <v>0</v>
      </c>
      <c r="L676" s="3">
        <f t="shared" si="60"/>
        <v>0</v>
      </c>
      <c r="M676" s="20" t="b">
        <f t="shared" si="64"/>
        <v>0</v>
      </c>
      <c r="O676" s="6" t="str">
        <f t="shared" si="61"/>
        <v>Open</v>
      </c>
      <c r="P676" s="3">
        <f t="shared" si="62"/>
        <v>60</v>
      </c>
    </row>
    <row r="677" spans="7:16" ht="15.6" x14ac:dyDescent="0.3">
      <c r="G677" s="5"/>
      <c r="H677" s="18"/>
      <c r="I677" s="18"/>
      <c r="J677" s="16">
        <f t="shared" si="63"/>
        <v>0</v>
      </c>
      <c r="L677" s="3">
        <f t="shared" si="60"/>
        <v>0</v>
      </c>
      <c r="M677" s="20" t="b">
        <f t="shared" si="64"/>
        <v>0</v>
      </c>
      <c r="O677" s="6" t="str">
        <f t="shared" si="61"/>
        <v>Open</v>
      </c>
      <c r="P677" s="3">
        <f t="shared" si="62"/>
        <v>60</v>
      </c>
    </row>
    <row r="678" spans="7:16" ht="15.6" x14ac:dyDescent="0.3">
      <c r="G678" s="5"/>
      <c r="H678" s="18"/>
      <c r="I678" s="18"/>
      <c r="J678" s="16">
        <f t="shared" si="63"/>
        <v>0</v>
      </c>
      <c r="L678" s="3">
        <f t="shared" si="60"/>
        <v>0</v>
      </c>
      <c r="M678" s="20" t="b">
        <f t="shared" si="64"/>
        <v>0</v>
      </c>
      <c r="O678" s="6" t="str">
        <f t="shared" si="61"/>
        <v>Open</v>
      </c>
      <c r="P678" s="3">
        <f t="shared" si="62"/>
        <v>60</v>
      </c>
    </row>
    <row r="679" spans="7:16" ht="15.6" x14ac:dyDescent="0.3">
      <c r="G679" s="5"/>
      <c r="H679" s="18"/>
      <c r="I679" s="18"/>
      <c r="J679" s="16">
        <f t="shared" si="63"/>
        <v>0</v>
      </c>
      <c r="L679" s="3">
        <f t="shared" si="60"/>
        <v>0</v>
      </c>
      <c r="M679" s="20" t="b">
        <f t="shared" si="64"/>
        <v>0</v>
      </c>
      <c r="O679" s="6" t="str">
        <f t="shared" si="61"/>
        <v>Open</v>
      </c>
      <c r="P679" s="3">
        <f t="shared" si="62"/>
        <v>60</v>
      </c>
    </row>
    <row r="680" spans="7:16" ht="15.6" x14ac:dyDescent="0.3">
      <c r="G680" s="5"/>
      <c r="H680" s="18"/>
      <c r="I680" s="18"/>
      <c r="J680" s="16">
        <f t="shared" si="63"/>
        <v>0</v>
      </c>
      <c r="L680" s="3">
        <f t="shared" si="60"/>
        <v>0</v>
      </c>
      <c r="M680" s="20" t="b">
        <f t="shared" si="64"/>
        <v>0</v>
      </c>
      <c r="O680" s="6" t="str">
        <f t="shared" si="61"/>
        <v>Open</v>
      </c>
      <c r="P680" s="3">
        <f t="shared" si="62"/>
        <v>60</v>
      </c>
    </row>
    <row r="681" spans="7:16" ht="15.6" x14ac:dyDescent="0.3">
      <c r="G681" s="5"/>
      <c r="H681" s="18"/>
      <c r="I681" s="18"/>
      <c r="J681" s="16">
        <f t="shared" si="63"/>
        <v>0</v>
      </c>
      <c r="L681" s="3">
        <f t="shared" si="60"/>
        <v>0</v>
      </c>
      <c r="M681" s="20" t="b">
        <f t="shared" si="64"/>
        <v>0</v>
      </c>
      <c r="O681" s="6" t="str">
        <f t="shared" si="61"/>
        <v>Open</v>
      </c>
      <c r="P681" s="3">
        <f t="shared" si="62"/>
        <v>60</v>
      </c>
    </row>
    <row r="682" spans="7:16" ht="15.6" x14ac:dyDescent="0.3">
      <c r="G682" s="5"/>
      <c r="H682" s="18"/>
      <c r="I682" s="18"/>
      <c r="J682" s="16">
        <f t="shared" si="63"/>
        <v>0</v>
      </c>
      <c r="L682" s="3">
        <f t="shared" si="60"/>
        <v>0</v>
      </c>
      <c r="M682" s="20" t="b">
        <f t="shared" si="64"/>
        <v>0</v>
      </c>
      <c r="O682" s="6" t="str">
        <f t="shared" si="61"/>
        <v>Open</v>
      </c>
      <c r="P682" s="3">
        <f t="shared" si="62"/>
        <v>60</v>
      </c>
    </row>
    <row r="683" spans="7:16" ht="15.6" x14ac:dyDescent="0.3">
      <c r="G683" s="5"/>
      <c r="H683" s="18"/>
      <c r="I683" s="18"/>
      <c r="J683" s="16">
        <f t="shared" si="63"/>
        <v>0</v>
      </c>
      <c r="L683" s="3">
        <f t="shared" si="60"/>
        <v>0</v>
      </c>
      <c r="M683" s="20" t="b">
        <f t="shared" si="64"/>
        <v>0</v>
      </c>
      <c r="O683" s="6" t="str">
        <f t="shared" si="61"/>
        <v>Open</v>
      </c>
      <c r="P683" s="3">
        <f t="shared" si="62"/>
        <v>60</v>
      </c>
    </row>
    <row r="684" spans="7:16" ht="15.6" x14ac:dyDescent="0.3">
      <c r="G684" s="5"/>
      <c r="H684" s="18"/>
      <c r="I684" s="18"/>
      <c r="J684" s="16">
        <f t="shared" si="63"/>
        <v>0</v>
      </c>
      <c r="L684" s="3">
        <f t="shared" si="60"/>
        <v>0</v>
      </c>
      <c r="M684" s="20" t="b">
        <f t="shared" si="64"/>
        <v>0</v>
      </c>
      <c r="O684" s="6" t="str">
        <f t="shared" si="61"/>
        <v>Open</v>
      </c>
      <c r="P684" s="3">
        <f t="shared" si="62"/>
        <v>60</v>
      </c>
    </row>
    <row r="685" spans="7:16" ht="15.6" x14ac:dyDescent="0.3">
      <c r="G685" s="5"/>
      <c r="H685" s="18"/>
      <c r="I685" s="18"/>
      <c r="J685" s="16">
        <f t="shared" si="63"/>
        <v>0</v>
      </c>
      <c r="L685" s="3">
        <f t="shared" si="60"/>
        <v>0</v>
      </c>
      <c r="M685" s="20" t="b">
        <f t="shared" si="64"/>
        <v>0</v>
      </c>
      <c r="O685" s="6" t="str">
        <f t="shared" si="61"/>
        <v>Open</v>
      </c>
      <c r="P685" s="3">
        <f t="shared" si="62"/>
        <v>60</v>
      </c>
    </row>
    <row r="686" spans="7:16" ht="15.6" x14ac:dyDescent="0.3">
      <c r="G686" s="5"/>
      <c r="H686" s="18"/>
      <c r="I686" s="18"/>
      <c r="J686" s="16">
        <f t="shared" si="63"/>
        <v>0</v>
      </c>
      <c r="L686" s="3">
        <f t="shared" si="60"/>
        <v>0</v>
      </c>
      <c r="M686" s="20" t="b">
        <f t="shared" si="64"/>
        <v>0</v>
      </c>
      <c r="O686" s="6" t="str">
        <f t="shared" si="61"/>
        <v>Open</v>
      </c>
      <c r="P686" s="3">
        <f t="shared" si="62"/>
        <v>60</v>
      </c>
    </row>
    <row r="687" spans="7:16" ht="15.6" x14ac:dyDescent="0.3">
      <c r="G687" s="5"/>
      <c r="H687" s="18"/>
      <c r="I687" s="18"/>
      <c r="J687" s="16">
        <f t="shared" si="63"/>
        <v>0</v>
      </c>
      <c r="L687" s="3">
        <f t="shared" si="60"/>
        <v>0</v>
      </c>
      <c r="M687" s="20" t="b">
        <f t="shared" si="64"/>
        <v>0</v>
      </c>
      <c r="O687" s="6" t="str">
        <f t="shared" si="61"/>
        <v>Open</v>
      </c>
      <c r="P687" s="3">
        <f t="shared" si="62"/>
        <v>60</v>
      </c>
    </row>
    <row r="688" spans="7:16" ht="15.6" x14ac:dyDescent="0.3">
      <c r="G688" s="5"/>
      <c r="H688" s="18"/>
      <c r="I688" s="18"/>
      <c r="J688" s="16">
        <f t="shared" si="63"/>
        <v>0</v>
      </c>
      <c r="L688" s="3">
        <f t="shared" si="60"/>
        <v>0</v>
      </c>
      <c r="M688" s="20" t="b">
        <f t="shared" si="64"/>
        <v>0</v>
      </c>
      <c r="O688" s="6" t="str">
        <f t="shared" si="61"/>
        <v>Open</v>
      </c>
      <c r="P688" s="3">
        <f t="shared" si="62"/>
        <v>60</v>
      </c>
    </row>
    <row r="689" spans="7:16" ht="15.6" x14ac:dyDescent="0.3">
      <c r="G689" s="5"/>
      <c r="H689" s="18"/>
      <c r="I689" s="18"/>
      <c r="J689" s="16">
        <f t="shared" si="63"/>
        <v>0</v>
      </c>
      <c r="L689" s="3">
        <f t="shared" si="60"/>
        <v>0</v>
      </c>
      <c r="M689" s="20" t="b">
        <f t="shared" si="64"/>
        <v>0</v>
      </c>
      <c r="O689" s="6" t="str">
        <f t="shared" si="61"/>
        <v>Open</v>
      </c>
      <c r="P689" s="3">
        <f t="shared" si="62"/>
        <v>60</v>
      </c>
    </row>
    <row r="690" spans="7:16" ht="15.6" x14ac:dyDescent="0.3">
      <c r="G690" s="5"/>
      <c r="H690" s="18"/>
      <c r="I690" s="18"/>
      <c r="J690" s="16">
        <f t="shared" si="63"/>
        <v>0</v>
      </c>
      <c r="L690" s="3">
        <f t="shared" si="60"/>
        <v>0</v>
      </c>
      <c r="M690" s="20" t="b">
        <f t="shared" si="64"/>
        <v>0</v>
      </c>
      <c r="O690" s="6" t="str">
        <f t="shared" si="61"/>
        <v>Open</v>
      </c>
      <c r="P690" s="3">
        <f t="shared" si="62"/>
        <v>60</v>
      </c>
    </row>
    <row r="691" spans="7:16" ht="15.6" x14ac:dyDescent="0.3">
      <c r="G691" s="5"/>
      <c r="H691" s="18"/>
      <c r="I691" s="18"/>
      <c r="J691" s="16">
        <f t="shared" si="63"/>
        <v>0</v>
      </c>
      <c r="L691" s="3">
        <f t="shared" si="60"/>
        <v>0</v>
      </c>
      <c r="M691" s="20" t="b">
        <f t="shared" si="64"/>
        <v>0</v>
      </c>
      <c r="O691" s="6" t="str">
        <f t="shared" si="61"/>
        <v>Open</v>
      </c>
      <c r="P691" s="3">
        <f t="shared" si="62"/>
        <v>60</v>
      </c>
    </row>
    <row r="692" spans="7:16" ht="15.6" x14ac:dyDescent="0.3">
      <c r="G692" s="5"/>
      <c r="H692" s="18"/>
      <c r="I692" s="18"/>
      <c r="J692" s="16">
        <f t="shared" si="63"/>
        <v>0</v>
      </c>
      <c r="L692" s="3">
        <f t="shared" si="60"/>
        <v>0</v>
      </c>
      <c r="M692" s="20" t="b">
        <f t="shared" si="64"/>
        <v>0</v>
      </c>
      <c r="O692" s="6" t="str">
        <f t="shared" si="61"/>
        <v>Open</v>
      </c>
      <c r="P692" s="3">
        <f t="shared" si="62"/>
        <v>60</v>
      </c>
    </row>
    <row r="693" spans="7:16" ht="15.6" x14ac:dyDescent="0.3">
      <c r="G693" s="5"/>
      <c r="H693" s="18"/>
      <c r="I693" s="18"/>
      <c r="J693" s="16">
        <f t="shared" si="63"/>
        <v>0</v>
      </c>
      <c r="L693" s="3">
        <f t="shared" si="60"/>
        <v>0</v>
      </c>
      <c r="M693" s="20" t="b">
        <f t="shared" si="64"/>
        <v>0</v>
      </c>
      <c r="O693" s="6" t="str">
        <f t="shared" si="61"/>
        <v>Open</v>
      </c>
      <c r="P693" s="3">
        <f t="shared" si="62"/>
        <v>60</v>
      </c>
    </row>
    <row r="694" spans="7:16" ht="15.6" x14ac:dyDescent="0.3">
      <c r="G694" s="5"/>
      <c r="H694" s="18"/>
      <c r="I694" s="18"/>
      <c r="J694" s="16">
        <f t="shared" si="63"/>
        <v>0</v>
      </c>
      <c r="L694" s="3">
        <f t="shared" si="60"/>
        <v>0</v>
      </c>
      <c r="M694" s="20" t="b">
        <f t="shared" si="64"/>
        <v>0</v>
      </c>
      <c r="O694" s="6" t="str">
        <f t="shared" si="61"/>
        <v>Open</v>
      </c>
      <c r="P694" s="3">
        <f t="shared" si="62"/>
        <v>60</v>
      </c>
    </row>
    <row r="695" spans="7:16" ht="15.6" x14ac:dyDescent="0.3">
      <c r="G695" s="5"/>
      <c r="H695" s="18"/>
      <c r="I695" s="18"/>
      <c r="J695" s="16">
        <f t="shared" si="63"/>
        <v>0</v>
      </c>
      <c r="L695" s="3">
        <f t="shared" si="60"/>
        <v>0</v>
      </c>
      <c r="M695" s="20" t="b">
        <f t="shared" si="64"/>
        <v>0</v>
      </c>
      <c r="O695" s="6" t="str">
        <f t="shared" si="61"/>
        <v>Open</v>
      </c>
      <c r="P695" s="3">
        <f t="shared" si="62"/>
        <v>60</v>
      </c>
    </row>
    <row r="696" spans="7:16" ht="15.6" x14ac:dyDescent="0.3">
      <c r="G696" s="5"/>
      <c r="H696" s="18"/>
      <c r="I696" s="18"/>
      <c r="J696" s="16">
        <f t="shared" si="63"/>
        <v>0</v>
      </c>
      <c r="L696" s="3">
        <f t="shared" si="60"/>
        <v>0</v>
      </c>
      <c r="M696" s="20" t="b">
        <f t="shared" si="64"/>
        <v>0</v>
      </c>
      <c r="O696" s="6" t="str">
        <f t="shared" si="61"/>
        <v>Open</v>
      </c>
      <c r="P696" s="3">
        <f t="shared" si="62"/>
        <v>60</v>
      </c>
    </row>
    <row r="697" spans="7:16" ht="15.6" x14ac:dyDescent="0.3">
      <c r="G697" s="5"/>
      <c r="H697" s="18"/>
      <c r="I697" s="18"/>
      <c r="J697" s="16">
        <f t="shared" si="63"/>
        <v>0</v>
      </c>
      <c r="L697" s="3">
        <f t="shared" si="60"/>
        <v>0</v>
      </c>
      <c r="M697" s="20" t="b">
        <f t="shared" si="64"/>
        <v>0</v>
      </c>
      <c r="O697" s="6" t="str">
        <f t="shared" si="61"/>
        <v>Open</v>
      </c>
      <c r="P697" s="3">
        <f t="shared" si="62"/>
        <v>60</v>
      </c>
    </row>
    <row r="698" spans="7:16" ht="15.6" x14ac:dyDescent="0.3">
      <c r="G698" s="5"/>
      <c r="H698" s="18"/>
      <c r="I698" s="18"/>
      <c r="J698" s="16">
        <f t="shared" si="63"/>
        <v>0</v>
      </c>
      <c r="L698" s="3">
        <f t="shared" si="60"/>
        <v>0</v>
      </c>
      <c r="M698" s="20" t="b">
        <f t="shared" si="64"/>
        <v>0</v>
      </c>
      <c r="O698" s="6" t="str">
        <f t="shared" si="61"/>
        <v>Open</v>
      </c>
      <c r="P698" s="3">
        <f t="shared" si="62"/>
        <v>60</v>
      </c>
    </row>
    <row r="699" spans="7:16" ht="15.6" x14ac:dyDescent="0.3">
      <c r="G699" s="5"/>
      <c r="H699" s="18"/>
      <c r="I699" s="18"/>
      <c r="J699" s="16">
        <f t="shared" si="63"/>
        <v>0</v>
      </c>
      <c r="L699" s="3">
        <f t="shared" si="60"/>
        <v>0</v>
      </c>
      <c r="M699" s="20" t="b">
        <f t="shared" si="64"/>
        <v>0</v>
      </c>
      <c r="O699" s="6" t="str">
        <f t="shared" si="61"/>
        <v>Open</v>
      </c>
      <c r="P699" s="3">
        <f t="shared" si="62"/>
        <v>60</v>
      </c>
    </row>
    <row r="700" spans="7:16" ht="15.6" x14ac:dyDescent="0.3">
      <c r="G700" s="5"/>
      <c r="H700" s="18"/>
      <c r="I700" s="18"/>
      <c r="J700" s="16">
        <f t="shared" si="63"/>
        <v>0</v>
      </c>
      <c r="L700" s="3">
        <f t="shared" si="60"/>
        <v>0</v>
      </c>
      <c r="M700" s="20" t="b">
        <f t="shared" si="64"/>
        <v>0</v>
      </c>
      <c r="O700" s="6" t="str">
        <f t="shared" si="61"/>
        <v>Open</v>
      </c>
      <c r="P700" s="3">
        <f t="shared" si="62"/>
        <v>60</v>
      </c>
    </row>
    <row r="701" spans="7:16" ht="15.6" x14ac:dyDescent="0.3">
      <c r="G701" s="5"/>
      <c r="H701" s="18"/>
      <c r="I701" s="18"/>
      <c r="J701" s="16">
        <f t="shared" si="63"/>
        <v>0</v>
      </c>
      <c r="L701" s="3">
        <f t="shared" si="60"/>
        <v>0</v>
      </c>
      <c r="M701" s="20" t="b">
        <f t="shared" si="64"/>
        <v>0</v>
      </c>
      <c r="O701" s="6" t="str">
        <f t="shared" si="61"/>
        <v>Open</v>
      </c>
      <c r="P701" s="3">
        <f t="shared" si="62"/>
        <v>60</v>
      </c>
    </row>
    <row r="702" spans="7:16" ht="15.6" x14ac:dyDescent="0.3">
      <c r="G702" s="5"/>
      <c r="H702" s="18"/>
      <c r="I702" s="18"/>
      <c r="J702" s="16">
        <f t="shared" si="63"/>
        <v>0</v>
      </c>
      <c r="L702" s="3">
        <f t="shared" si="60"/>
        <v>0</v>
      </c>
      <c r="M702" s="20" t="b">
        <f t="shared" si="64"/>
        <v>0</v>
      </c>
      <c r="O702" s="6" t="str">
        <f t="shared" si="61"/>
        <v>Open</v>
      </c>
      <c r="P702" s="3">
        <f t="shared" si="62"/>
        <v>60</v>
      </c>
    </row>
    <row r="703" spans="7:16" ht="15.6" x14ac:dyDescent="0.3">
      <c r="G703" s="5"/>
      <c r="H703" s="18"/>
      <c r="I703" s="18"/>
      <c r="J703" s="16">
        <f t="shared" si="63"/>
        <v>0</v>
      </c>
      <c r="L703" s="3">
        <f t="shared" si="60"/>
        <v>0</v>
      </c>
      <c r="M703" s="20" t="b">
        <f t="shared" si="64"/>
        <v>0</v>
      </c>
      <c r="O703" s="6" t="str">
        <f t="shared" si="61"/>
        <v>Open</v>
      </c>
      <c r="P703" s="3">
        <f t="shared" si="62"/>
        <v>60</v>
      </c>
    </row>
    <row r="704" spans="7:16" ht="15.6" x14ac:dyDescent="0.3">
      <c r="G704" s="5"/>
      <c r="H704" s="18"/>
      <c r="I704" s="18"/>
      <c r="J704" s="16">
        <f t="shared" si="63"/>
        <v>0</v>
      </c>
      <c r="L704" s="3">
        <f t="shared" si="60"/>
        <v>0</v>
      </c>
      <c r="M704" s="20" t="b">
        <f t="shared" si="64"/>
        <v>0</v>
      </c>
      <c r="O704" s="6" t="str">
        <f t="shared" si="61"/>
        <v>Open</v>
      </c>
      <c r="P704" s="3">
        <f t="shared" si="62"/>
        <v>60</v>
      </c>
    </row>
    <row r="705" spans="7:16" ht="15.6" x14ac:dyDescent="0.3">
      <c r="G705" s="5"/>
      <c r="H705" s="18"/>
      <c r="I705" s="18"/>
      <c r="J705" s="16">
        <f t="shared" si="63"/>
        <v>0</v>
      </c>
      <c r="L705" s="3">
        <f t="shared" si="60"/>
        <v>0</v>
      </c>
      <c r="M705" s="20" t="b">
        <f t="shared" si="64"/>
        <v>0</v>
      </c>
      <c r="O705" s="6" t="str">
        <f t="shared" si="61"/>
        <v>Open</v>
      </c>
      <c r="P705" s="3">
        <f t="shared" si="62"/>
        <v>60</v>
      </c>
    </row>
    <row r="706" spans="7:16" ht="15.6" x14ac:dyDescent="0.3">
      <c r="G706" s="5"/>
      <c r="H706" s="18"/>
      <c r="I706" s="18"/>
      <c r="J706" s="16">
        <f t="shared" si="63"/>
        <v>0</v>
      </c>
      <c r="L706" s="3">
        <f t="shared" ref="L706:L769" si="65">K706-SUM(Q706:BX706)</f>
        <v>0</v>
      </c>
      <c r="M706" s="20" t="b">
        <f t="shared" si="64"/>
        <v>0</v>
      </c>
      <c r="O706" s="6" t="str">
        <f t="shared" ref="O706:O769" si="66">IF(COUNTA(P706:BW706)=COLUMNS(P706:BW706),"Closed","Open")</f>
        <v>Open</v>
      </c>
      <c r="P706" s="3">
        <f t="shared" ref="P706:P769" si="67">60-COUNT(Q706:BX706)</f>
        <v>60</v>
      </c>
    </row>
    <row r="707" spans="7:16" ht="15.6" x14ac:dyDescent="0.3">
      <c r="G707" s="5"/>
      <c r="H707" s="18"/>
      <c r="I707" s="18"/>
      <c r="J707" s="16">
        <f t="shared" si="63"/>
        <v>0</v>
      </c>
      <c r="L707" s="3">
        <f t="shared" si="65"/>
        <v>0</v>
      </c>
      <c r="M707" s="20" t="b">
        <f t="shared" si="64"/>
        <v>0</v>
      </c>
      <c r="O707" s="6" t="str">
        <f t="shared" si="66"/>
        <v>Open</v>
      </c>
      <c r="P707" s="3">
        <f t="shared" si="67"/>
        <v>60</v>
      </c>
    </row>
    <row r="708" spans="7:16" ht="15.6" x14ac:dyDescent="0.3">
      <c r="G708" s="5"/>
      <c r="H708" s="18"/>
      <c r="I708" s="18"/>
      <c r="J708" s="16">
        <f t="shared" si="63"/>
        <v>0</v>
      </c>
      <c r="L708" s="3">
        <f t="shared" si="65"/>
        <v>0</v>
      </c>
      <c r="M708" s="20" t="b">
        <f t="shared" si="64"/>
        <v>0</v>
      </c>
      <c r="O708" s="6" t="str">
        <f t="shared" si="66"/>
        <v>Open</v>
      </c>
      <c r="P708" s="3">
        <f t="shared" si="67"/>
        <v>60</v>
      </c>
    </row>
    <row r="709" spans="7:16" ht="15.6" x14ac:dyDescent="0.3">
      <c r="G709" s="5"/>
      <c r="H709" s="18"/>
      <c r="I709" s="18"/>
      <c r="J709" s="16">
        <f t="shared" si="63"/>
        <v>0</v>
      </c>
      <c r="L709" s="3">
        <f t="shared" si="65"/>
        <v>0</v>
      </c>
      <c r="M709" s="20" t="b">
        <f t="shared" si="64"/>
        <v>0</v>
      </c>
      <c r="O709" s="6" t="str">
        <f t="shared" si="66"/>
        <v>Open</v>
      </c>
      <c r="P709" s="3">
        <f t="shared" si="67"/>
        <v>60</v>
      </c>
    </row>
    <row r="710" spans="7:16" ht="15.6" x14ac:dyDescent="0.3">
      <c r="G710" s="5"/>
      <c r="H710" s="18"/>
      <c r="I710" s="18"/>
      <c r="J710" s="16">
        <f t="shared" si="63"/>
        <v>0</v>
      </c>
      <c r="L710" s="3">
        <f t="shared" si="65"/>
        <v>0</v>
      </c>
      <c r="M710" s="20" t="b">
        <f t="shared" si="64"/>
        <v>0</v>
      </c>
      <c r="O710" s="6" t="str">
        <f t="shared" si="66"/>
        <v>Open</v>
      </c>
      <c r="P710" s="3">
        <f t="shared" si="67"/>
        <v>60</v>
      </c>
    </row>
    <row r="711" spans="7:16" ht="15.6" x14ac:dyDescent="0.3">
      <c r="G711" s="5"/>
      <c r="H711" s="18"/>
      <c r="I711" s="18"/>
      <c r="J711" s="16">
        <f t="shared" si="63"/>
        <v>0</v>
      </c>
      <c r="L711" s="3">
        <f t="shared" si="65"/>
        <v>0</v>
      </c>
      <c r="M711" s="20" t="b">
        <f t="shared" si="64"/>
        <v>0</v>
      </c>
      <c r="O711" s="6" t="str">
        <f t="shared" si="66"/>
        <v>Open</v>
      </c>
      <c r="P711" s="3">
        <f t="shared" si="67"/>
        <v>60</v>
      </c>
    </row>
    <row r="712" spans="7:16" ht="15.6" x14ac:dyDescent="0.3">
      <c r="G712" s="5"/>
      <c r="H712" s="18"/>
      <c r="I712" s="18"/>
      <c r="J712" s="16">
        <f t="shared" si="63"/>
        <v>0</v>
      </c>
      <c r="L712" s="3">
        <f t="shared" si="65"/>
        <v>0</v>
      </c>
      <c r="M712" s="20" t="b">
        <f t="shared" si="64"/>
        <v>0</v>
      </c>
      <c r="O712" s="6" t="str">
        <f t="shared" si="66"/>
        <v>Open</v>
      </c>
      <c r="P712" s="3">
        <f t="shared" si="67"/>
        <v>60</v>
      </c>
    </row>
    <row r="713" spans="7:16" ht="15.6" x14ac:dyDescent="0.3">
      <c r="G713" s="5"/>
      <c r="H713" s="18"/>
      <c r="I713" s="18"/>
      <c r="J713" s="16">
        <f t="shared" si="63"/>
        <v>0</v>
      </c>
      <c r="L713" s="3">
        <f t="shared" si="65"/>
        <v>0</v>
      </c>
      <c r="M713" s="20" t="b">
        <f t="shared" si="64"/>
        <v>0</v>
      </c>
      <c r="O713" s="6" t="str">
        <f t="shared" si="66"/>
        <v>Open</v>
      </c>
      <c r="P713" s="3">
        <f t="shared" si="67"/>
        <v>60</v>
      </c>
    </row>
    <row r="714" spans="7:16" ht="15.6" x14ac:dyDescent="0.3">
      <c r="G714" s="5"/>
      <c r="H714" s="18"/>
      <c r="I714" s="18"/>
      <c r="J714" s="16">
        <f t="shared" si="63"/>
        <v>0</v>
      </c>
      <c r="L714" s="3">
        <f t="shared" si="65"/>
        <v>0</v>
      </c>
      <c r="M714" s="20" t="b">
        <f t="shared" si="64"/>
        <v>0</v>
      </c>
      <c r="O714" s="6" t="str">
        <f t="shared" si="66"/>
        <v>Open</v>
      </c>
      <c r="P714" s="3">
        <f t="shared" si="67"/>
        <v>60</v>
      </c>
    </row>
    <row r="715" spans="7:16" ht="15.6" x14ac:dyDescent="0.3">
      <c r="G715" s="5"/>
      <c r="H715" s="18"/>
      <c r="I715" s="18"/>
      <c r="J715" s="16">
        <f t="shared" si="63"/>
        <v>0</v>
      </c>
      <c r="L715" s="3">
        <f t="shared" si="65"/>
        <v>0</v>
      </c>
      <c r="M715" s="20" t="b">
        <f t="shared" si="64"/>
        <v>0</v>
      </c>
      <c r="O715" s="6" t="str">
        <f t="shared" si="66"/>
        <v>Open</v>
      </c>
      <c r="P715" s="3">
        <f t="shared" si="67"/>
        <v>60</v>
      </c>
    </row>
    <row r="716" spans="7:16" ht="15.6" x14ac:dyDescent="0.3">
      <c r="G716" s="5"/>
      <c r="H716" s="18"/>
      <c r="I716" s="18"/>
      <c r="J716" s="16">
        <f t="shared" si="63"/>
        <v>0</v>
      </c>
      <c r="L716" s="3">
        <f t="shared" si="65"/>
        <v>0</v>
      </c>
      <c r="M716" s="20" t="b">
        <f t="shared" si="64"/>
        <v>0</v>
      </c>
      <c r="O716" s="6" t="str">
        <f t="shared" si="66"/>
        <v>Open</v>
      </c>
      <c r="P716" s="3">
        <f t="shared" si="67"/>
        <v>60</v>
      </c>
    </row>
    <row r="717" spans="7:16" ht="15.6" x14ac:dyDescent="0.3">
      <c r="G717" s="5"/>
      <c r="H717" s="18"/>
      <c r="I717" s="18"/>
      <c r="J717" s="16">
        <f t="shared" si="63"/>
        <v>0</v>
      </c>
      <c r="L717" s="3">
        <f t="shared" si="65"/>
        <v>0</v>
      </c>
      <c r="M717" s="20" t="b">
        <f t="shared" si="64"/>
        <v>0</v>
      </c>
      <c r="O717" s="6" t="str">
        <f t="shared" si="66"/>
        <v>Open</v>
      </c>
      <c r="P717" s="3">
        <f t="shared" si="67"/>
        <v>60</v>
      </c>
    </row>
    <row r="718" spans="7:16" ht="15.6" x14ac:dyDescent="0.3">
      <c r="G718" s="5"/>
      <c r="H718" s="18"/>
      <c r="I718" s="18"/>
      <c r="J718" s="16">
        <f t="shared" si="63"/>
        <v>0</v>
      </c>
      <c r="L718" s="3">
        <f t="shared" si="65"/>
        <v>0</v>
      </c>
      <c r="M718" s="20" t="b">
        <f t="shared" si="64"/>
        <v>0</v>
      </c>
      <c r="O718" s="6" t="str">
        <f t="shared" si="66"/>
        <v>Open</v>
      </c>
      <c r="P718" s="3">
        <f t="shared" si="67"/>
        <v>60</v>
      </c>
    </row>
    <row r="719" spans="7:16" ht="15.6" x14ac:dyDescent="0.3">
      <c r="G719" s="5"/>
      <c r="H719" s="18"/>
      <c r="I719" s="18"/>
      <c r="J719" s="16">
        <f t="shared" si="63"/>
        <v>0</v>
      </c>
      <c r="L719" s="3">
        <f t="shared" si="65"/>
        <v>0</v>
      </c>
      <c r="M719" s="20" t="b">
        <f t="shared" si="64"/>
        <v>0</v>
      </c>
      <c r="O719" s="6" t="str">
        <f t="shared" si="66"/>
        <v>Open</v>
      </c>
      <c r="P719" s="3">
        <f t="shared" si="67"/>
        <v>60</v>
      </c>
    </row>
    <row r="720" spans="7:16" ht="15.6" x14ac:dyDescent="0.3">
      <c r="G720" s="5"/>
      <c r="H720" s="18"/>
      <c r="I720" s="18"/>
      <c r="J720" s="16">
        <f t="shared" si="63"/>
        <v>0</v>
      </c>
      <c r="L720" s="3">
        <f t="shared" si="65"/>
        <v>0</v>
      </c>
      <c r="M720" s="20" t="b">
        <f t="shared" si="64"/>
        <v>0</v>
      </c>
      <c r="O720" s="6" t="str">
        <f t="shared" si="66"/>
        <v>Open</v>
      </c>
      <c r="P720" s="3">
        <f t="shared" si="67"/>
        <v>60</v>
      </c>
    </row>
    <row r="721" spans="7:16" ht="15.6" x14ac:dyDescent="0.3">
      <c r="G721" s="5"/>
      <c r="H721" s="18"/>
      <c r="I721" s="18"/>
      <c r="J721" s="16">
        <f t="shared" si="63"/>
        <v>0</v>
      </c>
      <c r="L721" s="3">
        <f t="shared" si="65"/>
        <v>0</v>
      </c>
      <c r="M721" s="20" t="b">
        <f t="shared" si="64"/>
        <v>0</v>
      </c>
      <c r="O721" s="6" t="str">
        <f t="shared" si="66"/>
        <v>Open</v>
      </c>
      <c r="P721" s="3">
        <f t="shared" si="67"/>
        <v>60</v>
      </c>
    </row>
    <row r="722" spans="7:16" ht="15.6" x14ac:dyDescent="0.3">
      <c r="G722" s="5"/>
      <c r="H722" s="18"/>
      <c r="I722" s="18"/>
      <c r="J722" s="16">
        <f t="shared" ref="J722:J785" si="68">I722-H722</f>
        <v>0</v>
      </c>
      <c r="L722" s="3">
        <f t="shared" si="65"/>
        <v>0</v>
      </c>
      <c r="M722" s="20" t="b">
        <f t="shared" ref="M722:M785" si="69">J722=P722</f>
        <v>0</v>
      </c>
      <c r="O722" s="6" t="str">
        <f t="shared" si="66"/>
        <v>Open</v>
      </c>
      <c r="P722" s="3">
        <f t="shared" si="67"/>
        <v>60</v>
      </c>
    </row>
    <row r="723" spans="7:16" ht="15.6" x14ac:dyDescent="0.3">
      <c r="G723" s="5"/>
      <c r="H723" s="18"/>
      <c r="I723" s="18"/>
      <c r="J723" s="16">
        <f t="shared" si="68"/>
        <v>0</v>
      </c>
      <c r="L723" s="3">
        <f t="shared" si="65"/>
        <v>0</v>
      </c>
      <c r="M723" s="20" t="b">
        <f t="shared" si="69"/>
        <v>0</v>
      </c>
      <c r="O723" s="6" t="str">
        <f t="shared" si="66"/>
        <v>Open</v>
      </c>
      <c r="P723" s="3">
        <f t="shared" si="67"/>
        <v>60</v>
      </c>
    </row>
    <row r="724" spans="7:16" ht="15.6" x14ac:dyDescent="0.3">
      <c r="G724" s="5"/>
      <c r="H724" s="18"/>
      <c r="I724" s="18"/>
      <c r="J724" s="16">
        <f t="shared" si="68"/>
        <v>0</v>
      </c>
      <c r="L724" s="3">
        <f t="shared" si="65"/>
        <v>0</v>
      </c>
      <c r="M724" s="20" t="b">
        <f t="shared" si="69"/>
        <v>0</v>
      </c>
      <c r="O724" s="6" t="str">
        <f t="shared" si="66"/>
        <v>Open</v>
      </c>
      <c r="P724" s="3">
        <f t="shared" si="67"/>
        <v>60</v>
      </c>
    </row>
    <row r="725" spans="7:16" ht="15.6" x14ac:dyDescent="0.3">
      <c r="G725" s="5"/>
      <c r="H725" s="18"/>
      <c r="I725" s="18"/>
      <c r="J725" s="16">
        <f t="shared" si="68"/>
        <v>0</v>
      </c>
      <c r="L725" s="3">
        <f t="shared" si="65"/>
        <v>0</v>
      </c>
      <c r="M725" s="20" t="b">
        <f t="shared" si="69"/>
        <v>0</v>
      </c>
      <c r="O725" s="6" t="str">
        <f t="shared" si="66"/>
        <v>Open</v>
      </c>
      <c r="P725" s="3">
        <f t="shared" si="67"/>
        <v>60</v>
      </c>
    </row>
    <row r="726" spans="7:16" ht="15.6" x14ac:dyDescent="0.3">
      <c r="G726" s="5"/>
      <c r="H726" s="18"/>
      <c r="I726" s="18"/>
      <c r="J726" s="16">
        <f t="shared" si="68"/>
        <v>0</v>
      </c>
      <c r="L726" s="3">
        <f t="shared" si="65"/>
        <v>0</v>
      </c>
      <c r="M726" s="20" t="b">
        <f t="shared" si="69"/>
        <v>0</v>
      </c>
      <c r="O726" s="6" t="str">
        <f t="shared" si="66"/>
        <v>Open</v>
      </c>
      <c r="P726" s="3">
        <f t="shared" si="67"/>
        <v>60</v>
      </c>
    </row>
    <row r="727" spans="7:16" ht="15.6" x14ac:dyDescent="0.3">
      <c r="G727" s="5"/>
      <c r="H727" s="18"/>
      <c r="I727" s="18"/>
      <c r="J727" s="16">
        <f t="shared" si="68"/>
        <v>0</v>
      </c>
      <c r="L727" s="3">
        <f t="shared" si="65"/>
        <v>0</v>
      </c>
      <c r="M727" s="20" t="b">
        <f t="shared" si="69"/>
        <v>0</v>
      </c>
      <c r="O727" s="6" t="str">
        <f t="shared" si="66"/>
        <v>Open</v>
      </c>
      <c r="P727" s="3">
        <f t="shared" si="67"/>
        <v>60</v>
      </c>
    </row>
    <row r="728" spans="7:16" ht="15.6" x14ac:dyDescent="0.3">
      <c r="G728" s="5"/>
      <c r="H728" s="18"/>
      <c r="I728" s="18"/>
      <c r="J728" s="16">
        <f t="shared" si="68"/>
        <v>0</v>
      </c>
      <c r="L728" s="3">
        <f t="shared" si="65"/>
        <v>0</v>
      </c>
      <c r="M728" s="20" t="b">
        <f t="shared" si="69"/>
        <v>0</v>
      </c>
      <c r="O728" s="6" t="str">
        <f t="shared" si="66"/>
        <v>Open</v>
      </c>
      <c r="P728" s="3">
        <f t="shared" si="67"/>
        <v>60</v>
      </c>
    </row>
    <row r="729" spans="7:16" ht="15.6" x14ac:dyDescent="0.3">
      <c r="G729" s="5"/>
      <c r="H729" s="18"/>
      <c r="I729" s="18"/>
      <c r="J729" s="16">
        <f t="shared" si="68"/>
        <v>0</v>
      </c>
      <c r="L729" s="3">
        <f t="shared" si="65"/>
        <v>0</v>
      </c>
      <c r="M729" s="20" t="b">
        <f t="shared" si="69"/>
        <v>0</v>
      </c>
      <c r="O729" s="6" t="str">
        <f t="shared" si="66"/>
        <v>Open</v>
      </c>
      <c r="P729" s="3">
        <f t="shared" si="67"/>
        <v>60</v>
      </c>
    </row>
    <row r="730" spans="7:16" ht="15.6" x14ac:dyDescent="0.3">
      <c r="G730" s="5"/>
      <c r="H730" s="18"/>
      <c r="I730" s="18"/>
      <c r="J730" s="16">
        <f t="shared" si="68"/>
        <v>0</v>
      </c>
      <c r="L730" s="3">
        <f t="shared" si="65"/>
        <v>0</v>
      </c>
      <c r="M730" s="20" t="b">
        <f t="shared" si="69"/>
        <v>0</v>
      </c>
      <c r="O730" s="6" t="str">
        <f t="shared" si="66"/>
        <v>Open</v>
      </c>
      <c r="P730" s="3">
        <f t="shared" si="67"/>
        <v>60</v>
      </c>
    </row>
    <row r="731" spans="7:16" ht="15.6" x14ac:dyDescent="0.3">
      <c r="G731" s="5"/>
      <c r="H731" s="18"/>
      <c r="I731" s="18"/>
      <c r="J731" s="16">
        <f t="shared" si="68"/>
        <v>0</v>
      </c>
      <c r="L731" s="3">
        <f t="shared" si="65"/>
        <v>0</v>
      </c>
      <c r="M731" s="20" t="b">
        <f t="shared" si="69"/>
        <v>0</v>
      </c>
      <c r="O731" s="6" t="str">
        <f t="shared" si="66"/>
        <v>Open</v>
      </c>
      <c r="P731" s="3">
        <f t="shared" si="67"/>
        <v>60</v>
      </c>
    </row>
    <row r="732" spans="7:16" ht="15.6" x14ac:dyDescent="0.3">
      <c r="G732" s="5"/>
      <c r="H732" s="18"/>
      <c r="I732" s="18"/>
      <c r="J732" s="16">
        <f t="shared" si="68"/>
        <v>0</v>
      </c>
      <c r="L732" s="3">
        <f t="shared" si="65"/>
        <v>0</v>
      </c>
      <c r="M732" s="20" t="b">
        <f t="shared" si="69"/>
        <v>0</v>
      </c>
      <c r="O732" s="6" t="str">
        <f t="shared" si="66"/>
        <v>Open</v>
      </c>
      <c r="P732" s="3">
        <f t="shared" si="67"/>
        <v>60</v>
      </c>
    </row>
    <row r="733" spans="7:16" ht="15.6" x14ac:dyDescent="0.3">
      <c r="G733" s="5"/>
      <c r="H733" s="18"/>
      <c r="I733" s="18"/>
      <c r="J733" s="16">
        <f t="shared" si="68"/>
        <v>0</v>
      </c>
      <c r="L733" s="3">
        <f t="shared" si="65"/>
        <v>0</v>
      </c>
      <c r="M733" s="20" t="b">
        <f t="shared" si="69"/>
        <v>0</v>
      </c>
      <c r="O733" s="6" t="str">
        <f t="shared" si="66"/>
        <v>Open</v>
      </c>
      <c r="P733" s="3">
        <f t="shared" si="67"/>
        <v>60</v>
      </c>
    </row>
    <row r="734" spans="7:16" ht="15.6" x14ac:dyDescent="0.3">
      <c r="G734" s="5"/>
      <c r="H734" s="18"/>
      <c r="I734" s="18"/>
      <c r="J734" s="16">
        <f t="shared" si="68"/>
        <v>0</v>
      </c>
      <c r="L734" s="3">
        <f t="shared" si="65"/>
        <v>0</v>
      </c>
      <c r="M734" s="20" t="b">
        <f t="shared" si="69"/>
        <v>0</v>
      </c>
      <c r="O734" s="6" t="str">
        <f t="shared" si="66"/>
        <v>Open</v>
      </c>
      <c r="P734" s="3">
        <f t="shared" si="67"/>
        <v>60</v>
      </c>
    </row>
    <row r="735" spans="7:16" ht="15.6" x14ac:dyDescent="0.3">
      <c r="G735" s="5"/>
      <c r="H735" s="18"/>
      <c r="I735" s="18"/>
      <c r="J735" s="16">
        <f t="shared" si="68"/>
        <v>0</v>
      </c>
      <c r="L735" s="3">
        <f t="shared" si="65"/>
        <v>0</v>
      </c>
      <c r="M735" s="20" t="b">
        <f t="shared" si="69"/>
        <v>0</v>
      </c>
      <c r="O735" s="6" t="str">
        <f t="shared" si="66"/>
        <v>Open</v>
      </c>
      <c r="P735" s="3">
        <f t="shared" si="67"/>
        <v>60</v>
      </c>
    </row>
    <row r="736" spans="7:16" ht="15.6" x14ac:dyDescent="0.3">
      <c r="G736" s="5"/>
      <c r="H736" s="18"/>
      <c r="I736" s="18"/>
      <c r="J736" s="16">
        <f t="shared" si="68"/>
        <v>0</v>
      </c>
      <c r="L736" s="3">
        <f t="shared" si="65"/>
        <v>0</v>
      </c>
      <c r="M736" s="20" t="b">
        <f t="shared" si="69"/>
        <v>0</v>
      </c>
      <c r="O736" s="6" t="str">
        <f t="shared" si="66"/>
        <v>Open</v>
      </c>
      <c r="P736" s="3">
        <f t="shared" si="67"/>
        <v>60</v>
      </c>
    </row>
    <row r="737" spans="7:16" ht="15.6" x14ac:dyDescent="0.3">
      <c r="G737" s="5"/>
      <c r="H737" s="18"/>
      <c r="I737" s="18"/>
      <c r="J737" s="16">
        <f t="shared" si="68"/>
        <v>0</v>
      </c>
      <c r="L737" s="3">
        <f t="shared" si="65"/>
        <v>0</v>
      </c>
      <c r="M737" s="20" t="b">
        <f t="shared" si="69"/>
        <v>0</v>
      </c>
      <c r="O737" s="6" t="str">
        <f t="shared" si="66"/>
        <v>Open</v>
      </c>
      <c r="P737" s="3">
        <f t="shared" si="67"/>
        <v>60</v>
      </c>
    </row>
    <row r="738" spans="7:16" ht="15.6" x14ac:dyDescent="0.3">
      <c r="G738" s="5"/>
      <c r="H738" s="18"/>
      <c r="I738" s="18"/>
      <c r="J738" s="16">
        <f t="shared" si="68"/>
        <v>0</v>
      </c>
      <c r="L738" s="3">
        <f t="shared" si="65"/>
        <v>0</v>
      </c>
      <c r="M738" s="20" t="b">
        <f t="shared" si="69"/>
        <v>0</v>
      </c>
      <c r="O738" s="6" t="str">
        <f t="shared" si="66"/>
        <v>Open</v>
      </c>
      <c r="P738" s="3">
        <f t="shared" si="67"/>
        <v>60</v>
      </c>
    </row>
    <row r="739" spans="7:16" ht="15.6" x14ac:dyDescent="0.3">
      <c r="G739" s="5"/>
      <c r="H739" s="18"/>
      <c r="I739" s="18"/>
      <c r="J739" s="16">
        <f t="shared" si="68"/>
        <v>0</v>
      </c>
      <c r="L739" s="3">
        <f t="shared" si="65"/>
        <v>0</v>
      </c>
      <c r="M739" s="20" t="b">
        <f t="shared" si="69"/>
        <v>0</v>
      </c>
      <c r="O739" s="6" t="str">
        <f t="shared" si="66"/>
        <v>Open</v>
      </c>
      <c r="P739" s="3">
        <f t="shared" si="67"/>
        <v>60</v>
      </c>
    </row>
    <row r="740" spans="7:16" ht="15.6" x14ac:dyDescent="0.3">
      <c r="G740" s="5"/>
      <c r="H740" s="18"/>
      <c r="I740" s="18"/>
      <c r="J740" s="16">
        <f t="shared" si="68"/>
        <v>0</v>
      </c>
      <c r="L740" s="3">
        <f t="shared" si="65"/>
        <v>0</v>
      </c>
      <c r="M740" s="20" t="b">
        <f t="shared" si="69"/>
        <v>0</v>
      </c>
      <c r="O740" s="6" t="str">
        <f t="shared" si="66"/>
        <v>Open</v>
      </c>
      <c r="P740" s="3">
        <f t="shared" si="67"/>
        <v>60</v>
      </c>
    </row>
    <row r="741" spans="7:16" ht="15.6" x14ac:dyDescent="0.3">
      <c r="G741" s="5"/>
      <c r="H741" s="18"/>
      <c r="I741" s="18"/>
      <c r="J741" s="16">
        <f t="shared" si="68"/>
        <v>0</v>
      </c>
      <c r="L741" s="3">
        <f t="shared" si="65"/>
        <v>0</v>
      </c>
      <c r="M741" s="20" t="b">
        <f t="shared" si="69"/>
        <v>0</v>
      </c>
      <c r="O741" s="6" t="str">
        <f t="shared" si="66"/>
        <v>Open</v>
      </c>
      <c r="P741" s="3">
        <f t="shared" si="67"/>
        <v>60</v>
      </c>
    </row>
    <row r="742" spans="7:16" ht="15.6" x14ac:dyDescent="0.3">
      <c r="G742" s="5"/>
      <c r="H742" s="18"/>
      <c r="I742" s="18"/>
      <c r="J742" s="16">
        <f t="shared" si="68"/>
        <v>0</v>
      </c>
      <c r="L742" s="3">
        <f t="shared" si="65"/>
        <v>0</v>
      </c>
      <c r="M742" s="20" t="b">
        <f t="shared" si="69"/>
        <v>0</v>
      </c>
      <c r="O742" s="6" t="str">
        <f t="shared" si="66"/>
        <v>Open</v>
      </c>
      <c r="P742" s="3">
        <f t="shared" si="67"/>
        <v>60</v>
      </c>
    </row>
    <row r="743" spans="7:16" ht="15.6" x14ac:dyDescent="0.3">
      <c r="G743" s="5"/>
      <c r="H743" s="18"/>
      <c r="I743" s="18"/>
      <c r="J743" s="16">
        <f t="shared" si="68"/>
        <v>0</v>
      </c>
      <c r="L743" s="3">
        <f t="shared" si="65"/>
        <v>0</v>
      </c>
      <c r="M743" s="20" t="b">
        <f t="shared" si="69"/>
        <v>0</v>
      </c>
      <c r="O743" s="6" t="str">
        <f t="shared" si="66"/>
        <v>Open</v>
      </c>
      <c r="P743" s="3">
        <f t="shared" si="67"/>
        <v>60</v>
      </c>
    </row>
    <row r="744" spans="7:16" ht="15.6" x14ac:dyDescent="0.3">
      <c r="G744" s="5"/>
      <c r="H744" s="18"/>
      <c r="I744" s="18"/>
      <c r="J744" s="16">
        <f t="shared" si="68"/>
        <v>0</v>
      </c>
      <c r="L744" s="3">
        <f t="shared" si="65"/>
        <v>0</v>
      </c>
      <c r="M744" s="20" t="b">
        <f t="shared" si="69"/>
        <v>0</v>
      </c>
      <c r="O744" s="6" t="str">
        <f t="shared" si="66"/>
        <v>Open</v>
      </c>
      <c r="P744" s="3">
        <f t="shared" si="67"/>
        <v>60</v>
      </c>
    </row>
    <row r="745" spans="7:16" ht="15.6" x14ac:dyDescent="0.3">
      <c r="G745" s="5"/>
      <c r="H745" s="18"/>
      <c r="I745" s="18"/>
      <c r="J745" s="16">
        <f t="shared" si="68"/>
        <v>0</v>
      </c>
      <c r="L745" s="3">
        <f t="shared" si="65"/>
        <v>0</v>
      </c>
      <c r="M745" s="20" t="b">
        <f t="shared" si="69"/>
        <v>0</v>
      </c>
      <c r="O745" s="6" t="str">
        <f t="shared" si="66"/>
        <v>Open</v>
      </c>
      <c r="P745" s="3">
        <f t="shared" si="67"/>
        <v>60</v>
      </c>
    </row>
    <row r="746" spans="7:16" ht="15.6" x14ac:dyDescent="0.3">
      <c r="G746" s="5"/>
      <c r="H746" s="18"/>
      <c r="I746" s="18"/>
      <c r="J746" s="16">
        <f t="shared" si="68"/>
        <v>0</v>
      </c>
      <c r="L746" s="3">
        <f t="shared" si="65"/>
        <v>0</v>
      </c>
      <c r="M746" s="20" t="b">
        <f t="shared" si="69"/>
        <v>0</v>
      </c>
      <c r="O746" s="6" t="str">
        <f t="shared" si="66"/>
        <v>Open</v>
      </c>
      <c r="P746" s="3">
        <f t="shared" si="67"/>
        <v>60</v>
      </c>
    </row>
    <row r="747" spans="7:16" ht="15.6" x14ac:dyDescent="0.3">
      <c r="G747" s="5"/>
      <c r="H747" s="18"/>
      <c r="I747" s="18"/>
      <c r="J747" s="16">
        <f t="shared" si="68"/>
        <v>0</v>
      </c>
      <c r="L747" s="3">
        <f t="shared" si="65"/>
        <v>0</v>
      </c>
      <c r="M747" s="20" t="b">
        <f t="shared" si="69"/>
        <v>0</v>
      </c>
      <c r="O747" s="6" t="str">
        <f t="shared" si="66"/>
        <v>Open</v>
      </c>
      <c r="P747" s="3">
        <f t="shared" si="67"/>
        <v>60</v>
      </c>
    </row>
    <row r="748" spans="7:16" ht="15.6" x14ac:dyDescent="0.3">
      <c r="G748" s="5"/>
      <c r="H748" s="18"/>
      <c r="I748" s="18"/>
      <c r="J748" s="16">
        <f t="shared" si="68"/>
        <v>0</v>
      </c>
      <c r="L748" s="3">
        <f t="shared" si="65"/>
        <v>0</v>
      </c>
      <c r="M748" s="20" t="b">
        <f t="shared" si="69"/>
        <v>0</v>
      </c>
      <c r="O748" s="6" t="str">
        <f t="shared" si="66"/>
        <v>Open</v>
      </c>
      <c r="P748" s="3">
        <f t="shared" si="67"/>
        <v>60</v>
      </c>
    </row>
    <row r="749" spans="7:16" ht="15.6" x14ac:dyDescent="0.3">
      <c r="G749" s="5"/>
      <c r="H749" s="18"/>
      <c r="I749" s="18"/>
      <c r="J749" s="16">
        <f t="shared" si="68"/>
        <v>0</v>
      </c>
      <c r="L749" s="3">
        <f t="shared" si="65"/>
        <v>0</v>
      </c>
      <c r="M749" s="20" t="b">
        <f t="shared" si="69"/>
        <v>0</v>
      </c>
      <c r="O749" s="6" t="str">
        <f t="shared" si="66"/>
        <v>Open</v>
      </c>
      <c r="P749" s="3">
        <f t="shared" si="67"/>
        <v>60</v>
      </c>
    </row>
    <row r="750" spans="7:16" ht="15.6" x14ac:dyDescent="0.3">
      <c r="G750" s="5"/>
      <c r="H750" s="18"/>
      <c r="I750" s="18"/>
      <c r="J750" s="16">
        <f t="shared" si="68"/>
        <v>0</v>
      </c>
      <c r="L750" s="3">
        <f t="shared" si="65"/>
        <v>0</v>
      </c>
      <c r="M750" s="20" t="b">
        <f t="shared" si="69"/>
        <v>0</v>
      </c>
      <c r="O750" s="6" t="str">
        <f t="shared" si="66"/>
        <v>Open</v>
      </c>
      <c r="P750" s="3">
        <f t="shared" si="67"/>
        <v>60</v>
      </c>
    </row>
    <row r="751" spans="7:16" ht="15.6" x14ac:dyDescent="0.3">
      <c r="G751" s="5"/>
      <c r="H751" s="18"/>
      <c r="I751" s="18"/>
      <c r="J751" s="16">
        <f t="shared" si="68"/>
        <v>0</v>
      </c>
      <c r="L751" s="3">
        <f t="shared" si="65"/>
        <v>0</v>
      </c>
      <c r="M751" s="20" t="b">
        <f t="shared" si="69"/>
        <v>0</v>
      </c>
      <c r="O751" s="6" t="str">
        <f t="shared" si="66"/>
        <v>Open</v>
      </c>
      <c r="P751" s="3">
        <f t="shared" si="67"/>
        <v>60</v>
      </c>
    </row>
    <row r="752" spans="7:16" ht="15.6" x14ac:dyDescent="0.3">
      <c r="G752" s="5"/>
      <c r="H752" s="18"/>
      <c r="I752" s="18"/>
      <c r="J752" s="16">
        <f t="shared" si="68"/>
        <v>0</v>
      </c>
      <c r="L752" s="3">
        <f t="shared" si="65"/>
        <v>0</v>
      </c>
      <c r="M752" s="20" t="b">
        <f t="shared" si="69"/>
        <v>0</v>
      </c>
      <c r="O752" s="6" t="str">
        <f t="shared" si="66"/>
        <v>Open</v>
      </c>
      <c r="P752" s="3">
        <f t="shared" si="67"/>
        <v>60</v>
      </c>
    </row>
    <row r="753" spans="7:16" ht="15.6" x14ac:dyDescent="0.3">
      <c r="G753" s="5"/>
      <c r="H753" s="18"/>
      <c r="I753" s="18"/>
      <c r="J753" s="16">
        <f t="shared" si="68"/>
        <v>0</v>
      </c>
      <c r="L753" s="3">
        <f t="shared" si="65"/>
        <v>0</v>
      </c>
      <c r="M753" s="20" t="b">
        <f t="shared" si="69"/>
        <v>0</v>
      </c>
      <c r="O753" s="6" t="str">
        <f t="shared" si="66"/>
        <v>Open</v>
      </c>
      <c r="P753" s="3">
        <f t="shared" si="67"/>
        <v>60</v>
      </c>
    </row>
    <row r="754" spans="7:16" ht="15.6" x14ac:dyDescent="0.3">
      <c r="G754" s="5"/>
      <c r="H754" s="18"/>
      <c r="I754" s="18"/>
      <c r="J754" s="16">
        <f t="shared" si="68"/>
        <v>0</v>
      </c>
      <c r="L754" s="3">
        <f t="shared" si="65"/>
        <v>0</v>
      </c>
      <c r="M754" s="20" t="b">
        <f t="shared" si="69"/>
        <v>0</v>
      </c>
      <c r="O754" s="6" t="str">
        <f t="shared" si="66"/>
        <v>Open</v>
      </c>
      <c r="P754" s="3">
        <f t="shared" si="67"/>
        <v>60</v>
      </c>
    </row>
    <row r="755" spans="7:16" ht="15.6" x14ac:dyDescent="0.3">
      <c r="G755" s="5"/>
      <c r="H755" s="18"/>
      <c r="I755" s="18"/>
      <c r="J755" s="16">
        <f t="shared" si="68"/>
        <v>0</v>
      </c>
      <c r="L755" s="3">
        <f t="shared" si="65"/>
        <v>0</v>
      </c>
      <c r="M755" s="20" t="b">
        <f t="shared" si="69"/>
        <v>0</v>
      </c>
      <c r="O755" s="6" t="str">
        <f t="shared" si="66"/>
        <v>Open</v>
      </c>
      <c r="P755" s="3">
        <f t="shared" si="67"/>
        <v>60</v>
      </c>
    </row>
    <row r="756" spans="7:16" ht="15.6" x14ac:dyDescent="0.3">
      <c r="G756" s="5"/>
      <c r="H756" s="18"/>
      <c r="I756" s="18"/>
      <c r="J756" s="16">
        <f t="shared" si="68"/>
        <v>0</v>
      </c>
      <c r="L756" s="3">
        <f t="shared" si="65"/>
        <v>0</v>
      </c>
      <c r="M756" s="20" t="b">
        <f t="shared" si="69"/>
        <v>0</v>
      </c>
      <c r="O756" s="6" t="str">
        <f t="shared" si="66"/>
        <v>Open</v>
      </c>
      <c r="P756" s="3">
        <f t="shared" si="67"/>
        <v>60</v>
      </c>
    </row>
    <row r="757" spans="7:16" ht="15.6" x14ac:dyDescent="0.3">
      <c r="G757" s="5"/>
      <c r="H757" s="18"/>
      <c r="I757" s="18"/>
      <c r="J757" s="16">
        <f t="shared" si="68"/>
        <v>0</v>
      </c>
      <c r="L757" s="3">
        <f t="shared" si="65"/>
        <v>0</v>
      </c>
      <c r="M757" s="20" t="b">
        <f t="shared" si="69"/>
        <v>0</v>
      </c>
      <c r="O757" s="6" t="str">
        <f t="shared" si="66"/>
        <v>Open</v>
      </c>
      <c r="P757" s="3">
        <f t="shared" si="67"/>
        <v>60</v>
      </c>
    </row>
    <row r="758" spans="7:16" ht="15.6" x14ac:dyDescent="0.3">
      <c r="G758" s="5"/>
      <c r="H758" s="18"/>
      <c r="I758" s="18"/>
      <c r="J758" s="16">
        <f t="shared" si="68"/>
        <v>0</v>
      </c>
      <c r="L758" s="3">
        <f t="shared" si="65"/>
        <v>0</v>
      </c>
      <c r="M758" s="20" t="b">
        <f t="shared" si="69"/>
        <v>0</v>
      </c>
      <c r="O758" s="6" t="str">
        <f t="shared" si="66"/>
        <v>Open</v>
      </c>
      <c r="P758" s="3">
        <f t="shared" si="67"/>
        <v>60</v>
      </c>
    </row>
    <row r="759" spans="7:16" ht="15.6" x14ac:dyDescent="0.3">
      <c r="G759" s="5"/>
      <c r="H759" s="18"/>
      <c r="I759" s="18"/>
      <c r="J759" s="16">
        <f t="shared" si="68"/>
        <v>0</v>
      </c>
      <c r="L759" s="3">
        <f t="shared" si="65"/>
        <v>0</v>
      </c>
      <c r="M759" s="20" t="b">
        <f t="shared" si="69"/>
        <v>0</v>
      </c>
      <c r="O759" s="6" t="str">
        <f t="shared" si="66"/>
        <v>Open</v>
      </c>
      <c r="P759" s="3">
        <f t="shared" si="67"/>
        <v>60</v>
      </c>
    </row>
    <row r="760" spans="7:16" ht="15.6" x14ac:dyDescent="0.3">
      <c r="G760" s="5"/>
      <c r="H760" s="18"/>
      <c r="I760" s="18"/>
      <c r="J760" s="16">
        <f t="shared" si="68"/>
        <v>0</v>
      </c>
      <c r="L760" s="3">
        <f t="shared" si="65"/>
        <v>0</v>
      </c>
      <c r="M760" s="20" t="b">
        <f t="shared" si="69"/>
        <v>0</v>
      </c>
      <c r="O760" s="6" t="str">
        <f t="shared" si="66"/>
        <v>Open</v>
      </c>
      <c r="P760" s="3">
        <f t="shared" si="67"/>
        <v>60</v>
      </c>
    </row>
    <row r="761" spans="7:16" ht="15.6" x14ac:dyDescent="0.3">
      <c r="G761" s="5"/>
      <c r="H761" s="18"/>
      <c r="I761" s="18"/>
      <c r="J761" s="16">
        <f t="shared" si="68"/>
        <v>0</v>
      </c>
      <c r="L761" s="3">
        <f t="shared" si="65"/>
        <v>0</v>
      </c>
      <c r="M761" s="20" t="b">
        <f t="shared" si="69"/>
        <v>0</v>
      </c>
      <c r="O761" s="6" t="str">
        <f t="shared" si="66"/>
        <v>Open</v>
      </c>
      <c r="P761" s="3">
        <f t="shared" si="67"/>
        <v>60</v>
      </c>
    </row>
    <row r="762" spans="7:16" ht="15.6" x14ac:dyDescent="0.3">
      <c r="G762" s="5"/>
      <c r="H762" s="18"/>
      <c r="I762" s="18"/>
      <c r="J762" s="16">
        <f t="shared" si="68"/>
        <v>0</v>
      </c>
      <c r="L762" s="3">
        <f t="shared" si="65"/>
        <v>0</v>
      </c>
      <c r="M762" s="20" t="b">
        <f t="shared" si="69"/>
        <v>0</v>
      </c>
      <c r="O762" s="6" t="str">
        <f t="shared" si="66"/>
        <v>Open</v>
      </c>
      <c r="P762" s="3">
        <f t="shared" si="67"/>
        <v>60</v>
      </c>
    </row>
    <row r="763" spans="7:16" ht="15.6" x14ac:dyDescent="0.3">
      <c r="G763" s="5"/>
      <c r="H763" s="18"/>
      <c r="I763" s="18"/>
      <c r="J763" s="16">
        <f t="shared" si="68"/>
        <v>0</v>
      </c>
      <c r="L763" s="3">
        <f t="shared" si="65"/>
        <v>0</v>
      </c>
      <c r="M763" s="20" t="b">
        <f t="shared" si="69"/>
        <v>0</v>
      </c>
      <c r="O763" s="6" t="str">
        <f t="shared" si="66"/>
        <v>Open</v>
      </c>
      <c r="P763" s="3">
        <f t="shared" si="67"/>
        <v>60</v>
      </c>
    </row>
    <row r="764" spans="7:16" ht="15.6" x14ac:dyDescent="0.3">
      <c r="G764" s="5"/>
      <c r="H764" s="18"/>
      <c r="I764" s="18"/>
      <c r="J764" s="16">
        <f t="shared" si="68"/>
        <v>0</v>
      </c>
      <c r="L764" s="3">
        <f t="shared" si="65"/>
        <v>0</v>
      </c>
      <c r="M764" s="20" t="b">
        <f t="shared" si="69"/>
        <v>0</v>
      </c>
      <c r="O764" s="6" t="str">
        <f t="shared" si="66"/>
        <v>Open</v>
      </c>
      <c r="P764" s="3">
        <f t="shared" si="67"/>
        <v>60</v>
      </c>
    </row>
    <row r="765" spans="7:16" ht="15.6" x14ac:dyDescent="0.3">
      <c r="G765" s="5"/>
      <c r="H765" s="18"/>
      <c r="I765" s="18"/>
      <c r="J765" s="16">
        <f t="shared" si="68"/>
        <v>0</v>
      </c>
      <c r="L765" s="3">
        <f t="shared" si="65"/>
        <v>0</v>
      </c>
      <c r="M765" s="20" t="b">
        <f t="shared" si="69"/>
        <v>0</v>
      </c>
      <c r="O765" s="6" t="str">
        <f t="shared" si="66"/>
        <v>Open</v>
      </c>
      <c r="P765" s="3">
        <f t="shared" si="67"/>
        <v>60</v>
      </c>
    </row>
    <row r="766" spans="7:16" ht="15.6" x14ac:dyDescent="0.3">
      <c r="G766" s="5"/>
      <c r="H766" s="18"/>
      <c r="I766" s="18"/>
      <c r="J766" s="16">
        <f t="shared" si="68"/>
        <v>0</v>
      </c>
      <c r="L766" s="3">
        <f t="shared" si="65"/>
        <v>0</v>
      </c>
      <c r="M766" s="20" t="b">
        <f t="shared" si="69"/>
        <v>0</v>
      </c>
      <c r="O766" s="6" t="str">
        <f t="shared" si="66"/>
        <v>Open</v>
      </c>
      <c r="P766" s="3">
        <f t="shared" si="67"/>
        <v>60</v>
      </c>
    </row>
    <row r="767" spans="7:16" ht="15.6" x14ac:dyDescent="0.3">
      <c r="G767" s="5"/>
      <c r="H767" s="18"/>
      <c r="I767" s="18"/>
      <c r="J767" s="16">
        <f t="shared" si="68"/>
        <v>0</v>
      </c>
      <c r="L767" s="3">
        <f t="shared" si="65"/>
        <v>0</v>
      </c>
      <c r="M767" s="20" t="b">
        <f t="shared" si="69"/>
        <v>0</v>
      </c>
      <c r="O767" s="6" t="str">
        <f t="shared" si="66"/>
        <v>Open</v>
      </c>
      <c r="P767" s="3">
        <f t="shared" si="67"/>
        <v>60</v>
      </c>
    </row>
    <row r="768" spans="7:16" ht="15.6" x14ac:dyDescent="0.3">
      <c r="G768" s="5"/>
      <c r="H768" s="18"/>
      <c r="I768" s="18"/>
      <c r="J768" s="16">
        <f t="shared" si="68"/>
        <v>0</v>
      </c>
      <c r="L768" s="3">
        <f t="shared" si="65"/>
        <v>0</v>
      </c>
      <c r="M768" s="20" t="b">
        <f t="shared" si="69"/>
        <v>0</v>
      </c>
      <c r="O768" s="6" t="str">
        <f t="shared" si="66"/>
        <v>Open</v>
      </c>
      <c r="P768" s="3">
        <f t="shared" si="67"/>
        <v>60</v>
      </c>
    </row>
    <row r="769" spans="7:16" ht="15.6" x14ac:dyDescent="0.3">
      <c r="G769" s="5"/>
      <c r="H769" s="18"/>
      <c r="I769" s="18"/>
      <c r="J769" s="16">
        <f t="shared" si="68"/>
        <v>0</v>
      </c>
      <c r="L769" s="3">
        <f t="shared" si="65"/>
        <v>0</v>
      </c>
      <c r="M769" s="20" t="b">
        <f t="shared" si="69"/>
        <v>0</v>
      </c>
      <c r="O769" s="6" t="str">
        <f t="shared" si="66"/>
        <v>Open</v>
      </c>
      <c r="P769" s="3">
        <f t="shared" si="67"/>
        <v>60</v>
      </c>
    </row>
    <row r="770" spans="7:16" ht="15.6" x14ac:dyDescent="0.3">
      <c r="G770" s="5"/>
      <c r="H770" s="18"/>
      <c r="I770" s="18"/>
      <c r="J770" s="16">
        <f t="shared" si="68"/>
        <v>0</v>
      </c>
      <c r="L770" s="3">
        <f t="shared" ref="L770:L797" si="70">K770-SUM(Q770:BX770)</f>
        <v>0</v>
      </c>
      <c r="M770" s="20" t="b">
        <f t="shared" si="69"/>
        <v>0</v>
      </c>
      <c r="O770" s="6" t="str">
        <f t="shared" ref="O770:O798" si="71">IF(COUNTA(P770:BW770)=COLUMNS(P770:BW770),"Closed","Open")</f>
        <v>Open</v>
      </c>
      <c r="P770" s="3">
        <f t="shared" ref="P770:P797" si="72">60-COUNT(Q770:BX770)</f>
        <v>60</v>
      </c>
    </row>
    <row r="771" spans="7:16" ht="15.6" x14ac:dyDescent="0.3">
      <c r="G771" s="5"/>
      <c r="H771" s="18"/>
      <c r="I771" s="18"/>
      <c r="J771" s="16">
        <f t="shared" si="68"/>
        <v>0</v>
      </c>
      <c r="L771" s="3">
        <f t="shared" si="70"/>
        <v>0</v>
      </c>
      <c r="M771" s="20" t="b">
        <f t="shared" si="69"/>
        <v>0</v>
      </c>
      <c r="O771" s="6" t="str">
        <f t="shared" si="71"/>
        <v>Open</v>
      </c>
      <c r="P771" s="3">
        <f t="shared" si="72"/>
        <v>60</v>
      </c>
    </row>
    <row r="772" spans="7:16" ht="15.6" x14ac:dyDescent="0.3">
      <c r="G772" s="5"/>
      <c r="H772" s="18"/>
      <c r="I772" s="18"/>
      <c r="J772" s="16">
        <f t="shared" si="68"/>
        <v>0</v>
      </c>
      <c r="L772" s="3">
        <f t="shared" si="70"/>
        <v>0</v>
      </c>
      <c r="M772" s="20" t="b">
        <f t="shared" si="69"/>
        <v>0</v>
      </c>
      <c r="O772" s="6" t="str">
        <f t="shared" si="71"/>
        <v>Open</v>
      </c>
      <c r="P772" s="3">
        <f t="shared" si="72"/>
        <v>60</v>
      </c>
    </row>
    <row r="773" spans="7:16" ht="15.6" x14ac:dyDescent="0.3">
      <c r="G773" s="5"/>
      <c r="H773" s="18"/>
      <c r="I773" s="18"/>
      <c r="J773" s="16">
        <f t="shared" si="68"/>
        <v>0</v>
      </c>
      <c r="L773" s="3">
        <f t="shared" si="70"/>
        <v>0</v>
      </c>
      <c r="M773" s="20" t="b">
        <f t="shared" si="69"/>
        <v>0</v>
      </c>
      <c r="O773" s="6" t="str">
        <f t="shared" si="71"/>
        <v>Open</v>
      </c>
      <c r="P773" s="3">
        <f t="shared" si="72"/>
        <v>60</v>
      </c>
    </row>
    <row r="774" spans="7:16" ht="15.6" x14ac:dyDescent="0.3">
      <c r="G774" s="5"/>
      <c r="H774" s="18"/>
      <c r="I774" s="18"/>
      <c r="J774" s="16">
        <f t="shared" si="68"/>
        <v>0</v>
      </c>
      <c r="L774" s="3">
        <f t="shared" si="70"/>
        <v>0</v>
      </c>
      <c r="M774" s="20" t="b">
        <f t="shared" si="69"/>
        <v>0</v>
      </c>
      <c r="O774" s="6" t="str">
        <f t="shared" si="71"/>
        <v>Open</v>
      </c>
      <c r="P774" s="3">
        <f t="shared" si="72"/>
        <v>60</v>
      </c>
    </row>
    <row r="775" spans="7:16" ht="15.6" x14ac:dyDescent="0.3">
      <c r="G775" s="5"/>
      <c r="H775" s="18"/>
      <c r="I775" s="18"/>
      <c r="J775" s="16">
        <f t="shared" si="68"/>
        <v>0</v>
      </c>
      <c r="L775" s="3">
        <f t="shared" si="70"/>
        <v>0</v>
      </c>
      <c r="M775" s="20" t="b">
        <f t="shared" si="69"/>
        <v>0</v>
      </c>
      <c r="O775" s="6" t="str">
        <f t="shared" si="71"/>
        <v>Open</v>
      </c>
      <c r="P775" s="3">
        <f t="shared" si="72"/>
        <v>60</v>
      </c>
    </row>
    <row r="776" spans="7:16" ht="15.6" x14ac:dyDescent="0.3">
      <c r="G776" s="5"/>
      <c r="H776" s="18"/>
      <c r="I776" s="18"/>
      <c r="J776" s="16">
        <f t="shared" si="68"/>
        <v>0</v>
      </c>
      <c r="L776" s="3">
        <f t="shared" si="70"/>
        <v>0</v>
      </c>
      <c r="M776" s="20" t="b">
        <f t="shared" si="69"/>
        <v>0</v>
      </c>
      <c r="O776" s="6" t="str">
        <f t="shared" si="71"/>
        <v>Open</v>
      </c>
      <c r="P776" s="3">
        <f t="shared" si="72"/>
        <v>60</v>
      </c>
    </row>
    <row r="777" spans="7:16" ht="15.6" x14ac:dyDescent="0.3">
      <c r="G777" s="5"/>
      <c r="H777" s="18"/>
      <c r="I777" s="18"/>
      <c r="J777" s="16">
        <f t="shared" si="68"/>
        <v>0</v>
      </c>
      <c r="L777" s="3">
        <f t="shared" si="70"/>
        <v>0</v>
      </c>
      <c r="M777" s="20" t="b">
        <f t="shared" si="69"/>
        <v>0</v>
      </c>
      <c r="O777" s="6" t="str">
        <f t="shared" si="71"/>
        <v>Open</v>
      </c>
      <c r="P777" s="3">
        <f t="shared" si="72"/>
        <v>60</v>
      </c>
    </row>
    <row r="778" spans="7:16" ht="15.6" x14ac:dyDescent="0.3">
      <c r="G778" s="5"/>
      <c r="H778" s="18"/>
      <c r="I778" s="18"/>
      <c r="J778" s="16">
        <f t="shared" si="68"/>
        <v>0</v>
      </c>
      <c r="L778" s="3">
        <f t="shared" si="70"/>
        <v>0</v>
      </c>
      <c r="M778" s="20" t="b">
        <f t="shared" si="69"/>
        <v>0</v>
      </c>
      <c r="O778" s="6" t="str">
        <f t="shared" si="71"/>
        <v>Open</v>
      </c>
      <c r="P778" s="3">
        <f t="shared" si="72"/>
        <v>60</v>
      </c>
    </row>
    <row r="779" spans="7:16" ht="15.6" x14ac:dyDescent="0.3">
      <c r="G779" s="5"/>
      <c r="H779" s="18"/>
      <c r="I779" s="18"/>
      <c r="J779" s="16">
        <f t="shared" si="68"/>
        <v>0</v>
      </c>
      <c r="L779" s="3">
        <f t="shared" si="70"/>
        <v>0</v>
      </c>
      <c r="M779" s="20" t="b">
        <f t="shared" si="69"/>
        <v>0</v>
      </c>
      <c r="O779" s="6" t="str">
        <f t="shared" si="71"/>
        <v>Open</v>
      </c>
      <c r="P779" s="3">
        <f t="shared" si="72"/>
        <v>60</v>
      </c>
    </row>
    <row r="780" spans="7:16" ht="15.6" x14ac:dyDescent="0.3">
      <c r="G780" s="5"/>
      <c r="H780" s="18"/>
      <c r="I780" s="18"/>
      <c r="J780" s="16">
        <f t="shared" si="68"/>
        <v>0</v>
      </c>
      <c r="L780" s="3">
        <f t="shared" si="70"/>
        <v>0</v>
      </c>
      <c r="M780" s="20" t="b">
        <f t="shared" si="69"/>
        <v>0</v>
      </c>
      <c r="O780" s="6" t="str">
        <f t="shared" si="71"/>
        <v>Open</v>
      </c>
      <c r="P780" s="3">
        <f t="shared" si="72"/>
        <v>60</v>
      </c>
    </row>
    <row r="781" spans="7:16" ht="15.6" x14ac:dyDescent="0.3">
      <c r="G781" s="5"/>
      <c r="H781" s="18"/>
      <c r="I781" s="18"/>
      <c r="J781" s="16">
        <f t="shared" si="68"/>
        <v>0</v>
      </c>
      <c r="L781" s="3">
        <f t="shared" si="70"/>
        <v>0</v>
      </c>
      <c r="M781" s="20" t="b">
        <f t="shared" si="69"/>
        <v>0</v>
      </c>
      <c r="O781" s="6" t="str">
        <f t="shared" si="71"/>
        <v>Open</v>
      </c>
      <c r="P781" s="3">
        <f t="shared" si="72"/>
        <v>60</v>
      </c>
    </row>
    <row r="782" spans="7:16" ht="15.6" x14ac:dyDescent="0.3">
      <c r="G782" s="5"/>
      <c r="H782" s="18"/>
      <c r="I782" s="18"/>
      <c r="J782" s="16">
        <f t="shared" si="68"/>
        <v>0</v>
      </c>
      <c r="L782" s="3">
        <f t="shared" si="70"/>
        <v>0</v>
      </c>
      <c r="M782" s="20" t="b">
        <f t="shared" si="69"/>
        <v>0</v>
      </c>
      <c r="O782" s="6" t="str">
        <f t="shared" si="71"/>
        <v>Open</v>
      </c>
      <c r="P782" s="3">
        <f t="shared" si="72"/>
        <v>60</v>
      </c>
    </row>
    <row r="783" spans="7:16" ht="15.6" x14ac:dyDescent="0.3">
      <c r="G783" s="5"/>
      <c r="H783" s="18"/>
      <c r="I783" s="18"/>
      <c r="J783" s="16">
        <f t="shared" si="68"/>
        <v>0</v>
      </c>
      <c r="L783" s="3">
        <f t="shared" si="70"/>
        <v>0</v>
      </c>
      <c r="M783" s="20" t="b">
        <f t="shared" si="69"/>
        <v>0</v>
      </c>
      <c r="O783" s="6" t="str">
        <f t="shared" si="71"/>
        <v>Open</v>
      </c>
      <c r="P783" s="3">
        <f t="shared" si="72"/>
        <v>60</v>
      </c>
    </row>
    <row r="784" spans="7:16" ht="15.6" x14ac:dyDescent="0.3">
      <c r="G784" s="5"/>
      <c r="H784" s="18"/>
      <c r="I784" s="18"/>
      <c r="J784" s="16">
        <f t="shared" si="68"/>
        <v>0</v>
      </c>
      <c r="L784" s="3">
        <f t="shared" si="70"/>
        <v>0</v>
      </c>
      <c r="M784" s="20" t="b">
        <f t="shared" si="69"/>
        <v>0</v>
      </c>
      <c r="O784" s="6" t="str">
        <f t="shared" si="71"/>
        <v>Open</v>
      </c>
      <c r="P784" s="3">
        <f t="shared" si="72"/>
        <v>60</v>
      </c>
    </row>
    <row r="785" spans="7:16" ht="15.6" x14ac:dyDescent="0.3">
      <c r="G785" s="5"/>
      <c r="H785" s="18"/>
      <c r="I785" s="18"/>
      <c r="J785" s="16">
        <f t="shared" si="68"/>
        <v>0</v>
      </c>
      <c r="L785" s="3">
        <f t="shared" si="70"/>
        <v>0</v>
      </c>
      <c r="M785" s="20" t="b">
        <f t="shared" si="69"/>
        <v>0</v>
      </c>
      <c r="O785" s="6" t="str">
        <f t="shared" si="71"/>
        <v>Open</v>
      </c>
      <c r="P785" s="3">
        <f t="shared" si="72"/>
        <v>60</v>
      </c>
    </row>
    <row r="786" spans="7:16" ht="15.6" x14ac:dyDescent="0.3">
      <c r="G786" s="5"/>
      <c r="H786" s="18"/>
      <c r="I786" s="18"/>
      <c r="J786" s="16">
        <f t="shared" ref="J786:J798" si="73">I786-H786</f>
        <v>0</v>
      </c>
      <c r="L786" s="3">
        <f t="shared" si="70"/>
        <v>0</v>
      </c>
      <c r="M786" s="20" t="b">
        <f t="shared" ref="M786:M798" si="74">J786=P786</f>
        <v>0</v>
      </c>
      <c r="O786" s="6" t="str">
        <f t="shared" si="71"/>
        <v>Open</v>
      </c>
      <c r="P786" s="3">
        <f t="shared" si="72"/>
        <v>60</v>
      </c>
    </row>
    <row r="787" spans="7:16" ht="15.6" x14ac:dyDescent="0.3">
      <c r="G787" s="5"/>
      <c r="H787" s="18"/>
      <c r="I787" s="18"/>
      <c r="J787" s="16">
        <f t="shared" si="73"/>
        <v>0</v>
      </c>
      <c r="L787" s="3">
        <f t="shared" si="70"/>
        <v>0</v>
      </c>
      <c r="M787" s="20" t="b">
        <f t="shared" si="74"/>
        <v>0</v>
      </c>
      <c r="O787" s="6" t="str">
        <f t="shared" si="71"/>
        <v>Open</v>
      </c>
      <c r="P787" s="3">
        <f t="shared" si="72"/>
        <v>60</v>
      </c>
    </row>
    <row r="788" spans="7:16" ht="15.6" x14ac:dyDescent="0.3">
      <c r="G788" s="5"/>
      <c r="H788" s="18"/>
      <c r="I788" s="18"/>
      <c r="J788" s="16">
        <f t="shared" si="73"/>
        <v>0</v>
      </c>
      <c r="L788" s="3">
        <f t="shared" si="70"/>
        <v>0</v>
      </c>
      <c r="M788" s="20" t="b">
        <f t="shared" si="74"/>
        <v>0</v>
      </c>
      <c r="O788" s="6" t="str">
        <f t="shared" si="71"/>
        <v>Open</v>
      </c>
      <c r="P788" s="3">
        <f t="shared" si="72"/>
        <v>60</v>
      </c>
    </row>
    <row r="789" spans="7:16" ht="15.6" x14ac:dyDescent="0.3">
      <c r="G789" s="5"/>
      <c r="H789" s="18"/>
      <c r="I789" s="18"/>
      <c r="J789" s="16">
        <f t="shared" si="73"/>
        <v>0</v>
      </c>
      <c r="L789" s="3">
        <f t="shared" si="70"/>
        <v>0</v>
      </c>
      <c r="M789" s="20" t="b">
        <f t="shared" si="74"/>
        <v>0</v>
      </c>
      <c r="O789" s="6" t="str">
        <f t="shared" si="71"/>
        <v>Open</v>
      </c>
      <c r="P789" s="3">
        <f t="shared" si="72"/>
        <v>60</v>
      </c>
    </row>
    <row r="790" spans="7:16" ht="15.6" x14ac:dyDescent="0.3">
      <c r="G790" s="5"/>
      <c r="H790" s="18"/>
      <c r="I790" s="18"/>
      <c r="J790" s="16">
        <f t="shared" si="73"/>
        <v>0</v>
      </c>
      <c r="L790" s="3">
        <f t="shared" si="70"/>
        <v>0</v>
      </c>
      <c r="M790" s="20" t="b">
        <f t="shared" si="74"/>
        <v>0</v>
      </c>
      <c r="O790" s="6" t="str">
        <f t="shared" si="71"/>
        <v>Open</v>
      </c>
      <c r="P790" s="3">
        <f t="shared" si="72"/>
        <v>60</v>
      </c>
    </row>
    <row r="791" spans="7:16" ht="15.6" x14ac:dyDescent="0.3">
      <c r="G791" s="5"/>
      <c r="H791" s="18"/>
      <c r="I791" s="18"/>
      <c r="J791" s="16">
        <f t="shared" si="73"/>
        <v>0</v>
      </c>
      <c r="L791" s="3">
        <f t="shared" si="70"/>
        <v>0</v>
      </c>
      <c r="M791" s="20" t="b">
        <f t="shared" si="74"/>
        <v>0</v>
      </c>
      <c r="O791" s="6" t="str">
        <f t="shared" si="71"/>
        <v>Open</v>
      </c>
      <c r="P791" s="3">
        <f t="shared" si="72"/>
        <v>60</v>
      </c>
    </row>
    <row r="792" spans="7:16" ht="15.6" x14ac:dyDescent="0.3">
      <c r="G792" s="5"/>
      <c r="H792" s="18"/>
      <c r="I792" s="18"/>
      <c r="J792" s="16">
        <f t="shared" si="73"/>
        <v>0</v>
      </c>
      <c r="L792" s="3">
        <f t="shared" si="70"/>
        <v>0</v>
      </c>
      <c r="M792" s="20" t="b">
        <f t="shared" si="74"/>
        <v>0</v>
      </c>
      <c r="O792" s="6" t="str">
        <f t="shared" si="71"/>
        <v>Open</v>
      </c>
      <c r="P792" s="3">
        <f t="shared" si="72"/>
        <v>60</v>
      </c>
    </row>
    <row r="793" spans="7:16" ht="15.6" x14ac:dyDescent="0.3">
      <c r="G793" s="5"/>
      <c r="H793" s="18"/>
      <c r="I793" s="18"/>
      <c r="J793" s="16">
        <f t="shared" si="73"/>
        <v>0</v>
      </c>
      <c r="L793" s="3">
        <f t="shared" si="70"/>
        <v>0</v>
      </c>
      <c r="M793" s="20" t="b">
        <f t="shared" si="74"/>
        <v>0</v>
      </c>
      <c r="O793" s="6" t="str">
        <f t="shared" si="71"/>
        <v>Open</v>
      </c>
      <c r="P793" s="3">
        <f t="shared" si="72"/>
        <v>60</v>
      </c>
    </row>
    <row r="794" spans="7:16" ht="15.6" x14ac:dyDescent="0.3">
      <c r="G794" s="5"/>
      <c r="H794" s="18"/>
      <c r="I794" s="18"/>
      <c r="J794" s="16">
        <f t="shared" si="73"/>
        <v>0</v>
      </c>
      <c r="L794" s="3">
        <f t="shared" si="70"/>
        <v>0</v>
      </c>
      <c r="M794" s="20" t="b">
        <f t="shared" si="74"/>
        <v>0</v>
      </c>
      <c r="O794" s="6" t="str">
        <f t="shared" si="71"/>
        <v>Open</v>
      </c>
      <c r="P794" s="3">
        <f t="shared" si="72"/>
        <v>60</v>
      </c>
    </row>
    <row r="795" spans="7:16" ht="15.6" x14ac:dyDescent="0.3">
      <c r="G795" s="5"/>
      <c r="H795" s="18"/>
      <c r="I795" s="18"/>
      <c r="J795" s="16">
        <f t="shared" si="73"/>
        <v>0</v>
      </c>
      <c r="L795" s="3">
        <f t="shared" si="70"/>
        <v>0</v>
      </c>
      <c r="M795" s="20" t="b">
        <f t="shared" si="74"/>
        <v>0</v>
      </c>
      <c r="O795" s="6" t="str">
        <f t="shared" si="71"/>
        <v>Open</v>
      </c>
      <c r="P795" s="3">
        <f t="shared" si="72"/>
        <v>60</v>
      </c>
    </row>
    <row r="796" spans="7:16" ht="15.6" x14ac:dyDescent="0.3">
      <c r="G796" s="5"/>
      <c r="H796" s="18"/>
      <c r="I796" s="18"/>
      <c r="J796" s="16">
        <f t="shared" si="73"/>
        <v>0</v>
      </c>
      <c r="L796" s="3">
        <f t="shared" si="70"/>
        <v>0</v>
      </c>
      <c r="M796" s="20" t="b">
        <f t="shared" si="74"/>
        <v>0</v>
      </c>
      <c r="O796" s="6" t="str">
        <f t="shared" si="71"/>
        <v>Open</v>
      </c>
      <c r="P796" s="3">
        <f t="shared" si="72"/>
        <v>60</v>
      </c>
    </row>
    <row r="797" spans="7:16" ht="15.6" x14ac:dyDescent="0.3">
      <c r="G797" s="5"/>
      <c r="H797" s="18"/>
      <c r="I797" s="18"/>
      <c r="J797" s="16">
        <f t="shared" si="73"/>
        <v>0</v>
      </c>
      <c r="L797" s="3">
        <f t="shared" si="70"/>
        <v>0</v>
      </c>
      <c r="M797" s="20" t="b">
        <f t="shared" si="74"/>
        <v>0</v>
      </c>
      <c r="O797" s="6" t="str">
        <f t="shared" si="71"/>
        <v>Open</v>
      </c>
      <c r="P797" s="3">
        <f t="shared" si="72"/>
        <v>60</v>
      </c>
    </row>
    <row r="798" spans="7:16" ht="15.6" x14ac:dyDescent="0.3">
      <c r="J798" s="16">
        <f t="shared" si="73"/>
        <v>0</v>
      </c>
      <c r="M798" s="20" t="b">
        <f t="shared" si="74"/>
        <v>1</v>
      </c>
      <c r="O798" s="6" t="str">
        <f t="shared" si="71"/>
        <v>Open</v>
      </c>
    </row>
  </sheetData>
  <conditionalFormatting sqref="E1:E1048576">
    <cfRule type="duplicateValues" dxfId="1" priority="3"/>
  </conditionalFormatting>
  <conditionalFormatting sqref="P1:P1048576">
    <cfRule type="cellIs" dxfId="0" priority="2" operator="lessThan">
      <formula>5</formula>
    </cfRule>
  </conditionalFormatting>
  <conditionalFormatting sqref="Q1:BX1048576">
    <cfRule type="colorScale" priority="1">
      <colorScale>
        <cfvo type="num" val="0"/>
        <cfvo type="num" val="300"/>
        <color theme="5" tint="0.59999389629810485"/>
        <color theme="5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Mishra</dc:creator>
  <cp:lastModifiedBy>Shubham Mishra</cp:lastModifiedBy>
  <dcterms:created xsi:type="dcterms:W3CDTF">2026-02-06T05:03:53Z</dcterms:created>
  <dcterms:modified xsi:type="dcterms:W3CDTF">2026-02-16T17:48:27Z</dcterms:modified>
</cp:coreProperties>
</file>